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d.docs.live.net/1C1B30354A50F323/Documentos/"/>
    </mc:Choice>
  </mc:AlternateContent>
  <xr:revisionPtr revIDLastSave="0" documentId="8_{2C129739-F433-44AA-9817-7C345FFACC27}" xr6:coauthVersionLast="47" xr6:coauthVersionMax="47" xr10:uidLastSave="{00000000-0000-0000-0000-000000000000}"/>
  <bookViews>
    <workbookView xWindow="-108" yWindow="-108" windowWidth="23256" windowHeight="12456" firstSheet="6" activeTab="6" xr2:uid="{00000000-000D-0000-FFFF-FFFF00000000}"/>
  </bookViews>
  <sheets>
    <sheet name="Matriz Ckeck LIst" sheetId="1" r:id="rId1"/>
    <sheet name="MODELO LISTA DE COMPROBACIO RF4" sheetId="6" r:id="rId2"/>
    <sheet name="MODELO LISTA DE COMPROBACIO RF5" sheetId="7" r:id="rId3"/>
    <sheet name="MODELO LISTA DE COMPROBACIO RF6" sheetId="8" r:id="rId4"/>
    <sheet name="RECOMENDACIONES - RF4" sheetId="9" r:id="rId5"/>
    <sheet name="RECOMENDACIONES - RF5" sheetId="10" r:id="rId6"/>
    <sheet name="RECOMENDACIONES - RF6"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8" l="1"/>
  <c r="D36" i="8" s="1"/>
  <c r="C35" i="8"/>
  <c r="C36" i="8" s="1"/>
  <c r="D27" i="8"/>
  <c r="D28" i="8" s="1"/>
  <c r="C27" i="8"/>
  <c r="C28" i="8" s="1"/>
  <c r="D17" i="8"/>
  <c r="D18" i="8" s="1"/>
  <c r="C17" i="8"/>
  <c r="C18" i="8" s="1"/>
  <c r="D35" i="7"/>
  <c r="D36" i="7" s="1"/>
  <c r="C35" i="7"/>
  <c r="C36" i="7" s="1"/>
  <c r="D27" i="7"/>
  <c r="D28" i="7" s="1"/>
  <c r="C27" i="7"/>
  <c r="C28" i="7" s="1"/>
  <c r="D17" i="7"/>
  <c r="D18" i="7" s="1"/>
  <c r="C17" i="7"/>
  <c r="C18" i="7" s="1"/>
  <c r="D35" i="6"/>
  <c r="D36" i="6" s="1"/>
  <c r="C35" i="6"/>
  <c r="C36" i="6" s="1"/>
  <c r="D27" i="6"/>
  <c r="D28" i="6" s="1"/>
  <c r="C27" i="6"/>
  <c r="C28" i="6" s="1"/>
  <c r="D17" i="6"/>
  <c r="D18" i="6" s="1"/>
  <c r="C17" i="6"/>
  <c r="C1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7247B2AA-FE8F-440F-BA74-A6E02BDF356C}">
      <text>
        <r>
          <rPr>
            <sz val="11"/>
            <color theme="1"/>
            <rFont val="Calibri"/>
            <scheme val="minor"/>
          </rPr>
          <t>jeny ruiz:
Control del nivel de acuedo entre las partes Cliente y Desarrollador</t>
        </r>
      </text>
    </comment>
    <comment ref="H7" authorId="0" shapeId="0" xr:uid="{B83B2047-0592-4B10-8CBA-8DA55F743162}">
      <text>
        <r>
          <rPr>
            <sz val="11"/>
            <color theme="1"/>
            <rFont val="Calibri"/>
            <scheme val="minor"/>
          </rPr>
          <t>jeny ruiz:
La información contenida en memoria se utiliza para actualizar los campos de la base de datos.</t>
        </r>
      </text>
    </comment>
    <comment ref="I7" authorId="0" shapeId="0" xr:uid="{8581ADB2-BDB2-4FDD-90D7-97A76708740E}">
      <text>
        <r>
          <rPr>
            <sz val="11"/>
            <color theme="1"/>
            <rFont val="Calibri"/>
            <scheme val="minor"/>
          </rPr>
          <t>jeny ruiz:
La información contenida en memoria se utiliza para actualizar los campos de la base de datos.</t>
        </r>
      </text>
    </comment>
    <comment ref="J7" authorId="0" shapeId="0" xr:uid="{B7ABB4E5-9922-48CC-B612-A09520E9544F}">
      <text>
        <r>
          <rPr>
            <sz val="11"/>
            <color theme="1"/>
            <rFont val="Calibri"/>
            <scheme val="minor"/>
          </rPr>
          <t>jeny ruiz:
Control del nivel de acuedo entre las partes Cliente y Desarrollador</t>
        </r>
      </text>
    </comment>
    <comment ref="K7" authorId="0" shapeId="0" xr:uid="{C3D2E5C5-D369-48F1-B53F-5AEE2A23B218}">
      <text>
        <r>
          <rPr>
            <sz val="11"/>
            <color theme="1"/>
            <rFont val="Calibri"/>
            <scheme val="minor"/>
          </rPr>
          <t>jeny ruiz:
La información contenida en memoria se utiliza para actualizar los campos de la base de datos.</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I9" authorId="0" shapeId="0" xr:uid="{00000000-0006-0000-0000-000009000000}">
      <text>
        <r>
          <rPr>
            <sz val="11"/>
            <color theme="1"/>
            <rFont val="Calibri"/>
            <scheme val="minor"/>
          </rPr>
          <t>jeny ruiz:
Es importante ingresar el archivo plano en formato excel para el cliente y el desarrollador</t>
        </r>
      </text>
    </comment>
    <comment ref="K9" authorId="0" shapeId="0" xr:uid="{7FF7ACD9-5A6D-469D-B656-E5EA1332C755}">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2EBA6351-A9AB-468F-9D25-DA6F5067E3AA}">
      <text>
        <r>
          <rPr>
            <sz val="11"/>
            <color theme="1"/>
            <rFont val="Calibri"/>
            <scheme val="minor"/>
          </rPr>
          <t>ESPE:
COMPLETITUD DOCUMENTO</t>
        </r>
      </text>
    </comment>
    <comment ref="B9" authorId="0" shapeId="0" xr:uid="{547B014D-D1D2-4341-9E7E-3F579924F9B9}">
      <text>
        <r>
          <rPr>
            <sz val="11"/>
            <color theme="1"/>
            <rFont val="Calibri"/>
            <scheme val="minor"/>
          </rPr>
          <t xml:space="preserve">ESPE:
COMPLETITUD REQUISITO INDIVIDUAL
</t>
        </r>
      </text>
    </comment>
    <comment ref="B10" authorId="0" shapeId="0" xr:uid="{A4550266-5DFD-48C3-9A47-86C9B502866A}">
      <text>
        <r>
          <rPr>
            <sz val="11"/>
            <color theme="1"/>
            <rFont val="Calibri"/>
            <scheme val="minor"/>
          </rPr>
          <t>ESPE:
TRAZABILIDAD</t>
        </r>
      </text>
    </comment>
    <comment ref="B11" authorId="0" shapeId="0" xr:uid="{212543D9-352E-4BD0-A7E5-4090F83825ED}">
      <text>
        <r>
          <rPr>
            <sz val="11"/>
            <color theme="1"/>
            <rFont val="Calibri"/>
            <scheme val="minor"/>
          </rPr>
          <t xml:space="preserve">ESPE:
trazabilidad
</t>
        </r>
      </text>
    </comment>
    <comment ref="B12" authorId="0" shapeId="0" xr:uid="{0E6D5271-8D3E-4462-B0C7-ED078582F105}">
      <text>
        <r>
          <rPr>
            <sz val="11"/>
            <color theme="1"/>
            <rFont val="Calibri"/>
            <scheme val="minor"/>
          </rPr>
          <t xml:space="preserve">ESPE:
TRAZABILIDAD
</t>
        </r>
      </text>
    </comment>
    <comment ref="B13" authorId="0" shapeId="0" xr:uid="{EA1A5ECF-C2F4-4D11-9BE1-B85B70149406}">
      <text>
        <r>
          <rPr>
            <sz val="11"/>
            <color theme="1"/>
            <rFont val="Calibri"/>
            <scheme val="minor"/>
          </rPr>
          <t xml:space="preserve">ESPE:
CORRECCION
</t>
        </r>
      </text>
    </comment>
    <comment ref="B14" authorId="0" shapeId="0" xr:uid="{E644DCC3-46A6-4474-87A1-8550F74A14CF}">
      <text>
        <r>
          <rPr>
            <sz val="11"/>
            <color theme="1"/>
            <rFont val="Calibri"/>
            <scheme val="minor"/>
          </rPr>
          <t>ESPE:
CONSISTENCIA</t>
        </r>
      </text>
    </comment>
    <comment ref="B15" authorId="0" shapeId="0" xr:uid="{318C2737-A54D-4CE0-BEE8-BA5B98ED8995}">
      <text>
        <r>
          <rPr>
            <sz val="11"/>
            <color theme="1"/>
            <rFont val="Calibri"/>
            <scheme val="minor"/>
          </rPr>
          <t xml:space="preserve">ESPE:
NECESIDAD
</t>
        </r>
      </text>
    </comment>
    <comment ref="B16" authorId="0" shapeId="0" xr:uid="{4EE489FF-146C-47E6-AA5F-E6296C533EB7}">
      <text>
        <r>
          <rPr>
            <sz val="11"/>
            <color theme="1"/>
            <rFont val="Calibri"/>
            <scheme val="minor"/>
          </rPr>
          <t xml:space="preserve">ESPE:
verificable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BF4C9BD0-2072-4576-BB56-0988D6AC34B4}">
      <text>
        <r>
          <rPr>
            <sz val="11"/>
            <color theme="1"/>
            <rFont val="Calibri"/>
            <scheme val="minor"/>
          </rPr>
          <t>ESPE:
COMPLETITUD DOCUMENTO</t>
        </r>
      </text>
    </comment>
    <comment ref="B9" authorId="0" shapeId="0" xr:uid="{8AFFD843-F1F4-4339-BA10-319F652E32C4}">
      <text>
        <r>
          <rPr>
            <sz val="11"/>
            <color theme="1"/>
            <rFont val="Calibri"/>
            <scheme val="minor"/>
          </rPr>
          <t xml:space="preserve">ESPE:
COMPLETITUD REQUISITO INDIVIDUAL
</t>
        </r>
      </text>
    </comment>
    <comment ref="B10" authorId="0" shapeId="0" xr:uid="{90BDA872-5C41-4A0A-BF40-D6E672EBB8F9}">
      <text>
        <r>
          <rPr>
            <sz val="11"/>
            <color theme="1"/>
            <rFont val="Calibri"/>
            <scheme val="minor"/>
          </rPr>
          <t>ESPE:
TRAZABILIDAD</t>
        </r>
      </text>
    </comment>
    <comment ref="B11" authorId="0" shapeId="0" xr:uid="{F9E52D30-890B-4400-9F9D-C05381DE0DA2}">
      <text>
        <r>
          <rPr>
            <sz val="11"/>
            <color theme="1"/>
            <rFont val="Calibri"/>
            <scheme val="minor"/>
          </rPr>
          <t xml:space="preserve">ESPE:
trazabilidad
</t>
        </r>
      </text>
    </comment>
    <comment ref="B12" authorId="0" shapeId="0" xr:uid="{5FA26C30-CDFA-4F46-97E6-7E7C60B92520}">
      <text>
        <r>
          <rPr>
            <sz val="11"/>
            <color theme="1"/>
            <rFont val="Calibri"/>
            <scheme val="minor"/>
          </rPr>
          <t xml:space="preserve">ESPE:
TRAZABILIDAD
</t>
        </r>
      </text>
    </comment>
    <comment ref="B13" authorId="0" shapeId="0" xr:uid="{1FA4DF5A-0240-4000-BEAE-8037CFF6F89C}">
      <text>
        <r>
          <rPr>
            <sz val="11"/>
            <color theme="1"/>
            <rFont val="Calibri"/>
            <scheme val="minor"/>
          </rPr>
          <t xml:space="preserve">ESPE:
CORRECCION
</t>
        </r>
      </text>
    </comment>
    <comment ref="B14" authorId="0" shapeId="0" xr:uid="{680B8E92-3780-411E-B1E4-CF893922AA1F}">
      <text>
        <r>
          <rPr>
            <sz val="11"/>
            <color theme="1"/>
            <rFont val="Calibri"/>
            <scheme val="minor"/>
          </rPr>
          <t>ESPE:
CONSISTENCIA</t>
        </r>
      </text>
    </comment>
    <comment ref="B15" authorId="0" shapeId="0" xr:uid="{6F1A174F-5A23-4086-9CD1-D431C82B3832}">
      <text>
        <r>
          <rPr>
            <sz val="11"/>
            <color theme="1"/>
            <rFont val="Calibri"/>
            <scheme val="minor"/>
          </rPr>
          <t xml:space="preserve">ESPE:
NECESIDAD
</t>
        </r>
      </text>
    </comment>
    <comment ref="B16" authorId="0" shapeId="0" xr:uid="{A58FAF7C-B83A-4876-901E-F4B14756D3C8}">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000EDE2-308F-4690-BB04-FB26D48CCB4E}">
      <text>
        <r>
          <rPr>
            <sz val="11"/>
            <color theme="1"/>
            <rFont val="Calibri"/>
            <scheme val="minor"/>
          </rPr>
          <t>ESPE:
COMPLETITUD DOCUMENTO</t>
        </r>
      </text>
    </comment>
    <comment ref="B9" authorId="0" shapeId="0" xr:uid="{D2FE6F95-5C8B-4EB5-BC24-87CF6B94F829}">
      <text>
        <r>
          <rPr>
            <sz val="11"/>
            <color theme="1"/>
            <rFont val="Calibri"/>
            <scheme val="minor"/>
          </rPr>
          <t xml:space="preserve">ESPE:
COMPLETITUD REQUISITO INDIVIDUAL
</t>
        </r>
      </text>
    </comment>
    <comment ref="B10" authorId="0" shapeId="0" xr:uid="{821E76BA-EF71-49B1-B0F3-F8C4BAA8F1B9}">
      <text>
        <r>
          <rPr>
            <sz val="11"/>
            <color theme="1"/>
            <rFont val="Calibri"/>
            <scheme val="minor"/>
          </rPr>
          <t>ESPE:
TRAZABILIDAD</t>
        </r>
      </text>
    </comment>
    <comment ref="B11" authorId="0" shapeId="0" xr:uid="{AEE33FDD-1906-45ED-8F76-DC3FDF53EA81}">
      <text>
        <r>
          <rPr>
            <sz val="11"/>
            <color theme="1"/>
            <rFont val="Calibri"/>
            <scheme val="minor"/>
          </rPr>
          <t xml:space="preserve">ESPE:
trazabilidad
</t>
        </r>
      </text>
    </comment>
    <comment ref="B12" authorId="0" shapeId="0" xr:uid="{9F90D576-FAFE-4D57-B0DC-2E29BB1F4623}">
      <text>
        <r>
          <rPr>
            <sz val="11"/>
            <color theme="1"/>
            <rFont val="Calibri"/>
            <scheme val="minor"/>
          </rPr>
          <t xml:space="preserve">ESPE:
TRAZABILIDAD
</t>
        </r>
      </text>
    </comment>
    <comment ref="B13" authorId="0" shapeId="0" xr:uid="{6F5EB086-5D39-45FA-AE33-BBC9DBA58CE6}">
      <text>
        <r>
          <rPr>
            <sz val="11"/>
            <color theme="1"/>
            <rFont val="Calibri"/>
            <scheme val="minor"/>
          </rPr>
          <t xml:space="preserve">ESPE:
CORRECCION
</t>
        </r>
      </text>
    </comment>
    <comment ref="B14" authorId="0" shapeId="0" xr:uid="{D4655501-849B-4059-BE9E-A652A6CFDA5B}">
      <text>
        <r>
          <rPr>
            <sz val="11"/>
            <color theme="1"/>
            <rFont val="Calibri"/>
            <scheme val="minor"/>
          </rPr>
          <t>ESPE:
CONSISTENCIA</t>
        </r>
      </text>
    </comment>
    <comment ref="B15" authorId="0" shapeId="0" xr:uid="{C4C05C67-0B5B-4583-99C1-61BDCA9105F5}">
      <text>
        <r>
          <rPr>
            <sz val="11"/>
            <color theme="1"/>
            <rFont val="Calibri"/>
            <scheme val="minor"/>
          </rPr>
          <t xml:space="preserve">ESPE:
NECESIDAD
</t>
        </r>
      </text>
    </comment>
    <comment ref="B16" authorId="0" shapeId="0" xr:uid="{19E75681-78FA-462A-959B-AB1E6820A662}">
      <text>
        <r>
          <rPr>
            <sz val="11"/>
            <color theme="1"/>
            <rFont val="Calibri"/>
            <scheme val="minor"/>
          </rPr>
          <t xml:space="preserve">ESPE:
verificable 
</t>
        </r>
      </text>
    </comment>
  </commentList>
</comments>
</file>

<file path=xl/sharedStrings.xml><?xml version="1.0" encoding="utf-8"?>
<sst xmlns="http://schemas.openxmlformats.org/spreadsheetml/2006/main" count="310" uniqueCount="103">
  <si>
    <t>MATRIZ PARA COMPROBACIÓN REQUERIMIENTOS DE CALIDAD DE PROYECTO ACADEMICO</t>
  </si>
  <si>
    <t>SISTEMA:</t>
  </si>
  <si>
    <t>Sistema de Gestión y Control de Viajes (TransControl)</t>
  </si>
  <si>
    <t>Requerimientos  Funcionales</t>
  </si>
  <si>
    <t>Nº</t>
  </si>
  <si>
    <t>CRITERIOS DE CALIDAD (Documento/Requerimientos)</t>
  </si>
  <si>
    <t>Status
Nivel de Acuerdo</t>
  </si>
  <si>
    <t xml:space="preserve">
RF-4-Gestionar Transportistas
</t>
  </si>
  <si>
    <t xml:space="preserve">
CU001.3 Gestionar Datos de conejos
</t>
  </si>
  <si>
    <t xml:space="preserve"> RF-5- Gestionar viajes</t>
  </si>
  <si>
    <t xml:space="preserve">
RF-6- Monitorear Viajes
</t>
  </si>
  <si>
    <t>Agreed</t>
  </si>
  <si>
    <t>OK</t>
  </si>
  <si>
    <t>1. Entrevista presencial 
2. Aceptación de la entrevista
3. Minuta de la entrevista</t>
  </si>
  <si>
    <t xml:space="preserve">1. Entrevista presencial
2. Minuta de la entrevista
3. Aceptación de la entrevista </t>
  </si>
  <si>
    <t>1. Videoconferencia de la entrevista
2. Minuta de la entrevista
3. Aceptación por videoconferencia</t>
  </si>
  <si>
    <t>Ranked</t>
  </si>
  <si>
    <t>NOK</t>
  </si>
  <si>
    <t>1. No se especifica el nivel de pioridad</t>
  </si>
  <si>
    <t>1. En la descripción del caso de Uso se especifica la prioridad Alta</t>
  </si>
  <si>
    <t>Unambiguos</t>
  </si>
  <si>
    <t xml:space="preserve">1.  Redacción en lenguaje claro.                                                                               2. El tutor y el equipo interpretan de igual manera el caso de uso </t>
  </si>
  <si>
    <t>Valid and up-to date</t>
  </si>
  <si>
    <t>1. Toda nueva información ha sido incorporada, se han incorporado los últimos cambios pedidos luego del feedback realizado por el cliente</t>
  </si>
  <si>
    <t xml:space="preserve">1.Existen algunas sugerencias y cambios que aun no estan impllmentados hasta la fecha </t>
  </si>
  <si>
    <t>Correct</t>
  </si>
  <si>
    <t>1. Está alineado con los objetivos del sistema.                                                                                                                                                                                                                        2. Refleja lo que realmente necesita el cliente.</t>
  </si>
  <si>
    <t>Consisten</t>
  </si>
  <si>
    <t xml:space="preserve">1. Documentación basada en modelos: Diagrama de Casos de Uso
2. Usa términos definidos previamente.                                             </t>
  </si>
  <si>
    <t>1.Toda la documentacion maneja el mismo diseño y siguiendo un esquema estandarizado.                                                                                                                 2.Usa terminos definidos previamente</t>
  </si>
  <si>
    <t>Verifiable</t>
  </si>
  <si>
    <t>1. Falta Casos de prueba</t>
  </si>
  <si>
    <t xml:space="preserve">  1.  Falta Casos de Prueba</t>
  </si>
  <si>
    <t>1. Requisito Medible                                                           2.  Falta Casos de Prueba</t>
  </si>
  <si>
    <t>Realizable</t>
  </si>
  <si>
    <t>1. No se ha desarrollado</t>
  </si>
  <si>
    <t>1. Funcionalidad tomada en cuenta dentro de la estimación del costo del proyecto
2. El proyecto se encuentra en su etapa incial.                                                                                                                    3.No se ha desarrollado</t>
  </si>
  <si>
    <t>1. Funcionalidad tomada en cuenta dentro de la estimación del costo del proyecto (900$)
2. No se ha desarrollado</t>
  </si>
  <si>
    <t>Traceable</t>
  </si>
  <si>
    <t>1. Es claro el origen del requisito y sus relaciones con otros requisitos (matriz de trazabilidad cliente/casos de uso ) 
2. Cuenta con un identificador único</t>
  </si>
  <si>
    <t>1. Es claro el origen del requisito y sus relaciones con otros requisitos 
2. Cuenta con un identificador único</t>
  </si>
  <si>
    <t>1. Es claro el origen del requisito y sus relaciones con otros requisitos (matriz de trazabilidad cliente/casos de uso y casos de uso/casos de uso) 
2. Cuenta con un identificador único</t>
  </si>
  <si>
    <t>Complete</t>
  </si>
  <si>
    <t>1. Contiene toda la información necesaria (entradas, salidas, precondiciones, postcondiciones) para entender y diseñar la función. 
2. Describe completamente la funcionalidad esperada.</t>
  </si>
  <si>
    <t>Understandability</t>
  </si>
  <si>
    <t>1. El glosario se encuentra incompleto</t>
  </si>
  <si>
    <t>1.Falta proorcionar un glosario completo</t>
  </si>
  <si>
    <t>1. Se involucra al cliente
2. Existe glosario de términos</t>
  </si>
  <si>
    <t xml:space="preserve">RF-4-Gestionar Transportistas
</t>
  </si>
  <si>
    <t>FECHA:</t>
  </si>
  <si>
    <t>AUTOR:</t>
  </si>
  <si>
    <t>Alejandro Obando</t>
  </si>
  <si>
    <t>REQUERIMIENTOS EVALUADOS :</t>
  </si>
  <si>
    <t>CU001.3 Gestionar Transportistas</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</si>
  <si>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</si>
  <si>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</si>
  <si>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</si>
  <si>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</si>
  <si>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</si>
  <si>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</si>
  <si>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</si>
  <si>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</si>
  <si>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</si>
  <si>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</si>
  <si>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</si>
  <si>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</si>
  <si>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</si>
  <si>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</si>
  <si>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</si>
  <si>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</si>
  <si>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</si>
  <si>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</si>
  <si>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</si>
  <si>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</si>
  <si>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</si>
  <si>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</si>
  <si>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</si>
  <si>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</si>
  <si>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</si>
  <si>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</si>
  <si>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</si>
  <si>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</si>
  <si>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</si>
  <si>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Juan Quimbiulco</t>
  </si>
  <si>
    <t>x</t>
  </si>
  <si>
    <t>Steven Egas</t>
  </si>
  <si>
    <t>RF-6-Gestionar Transportistas</t>
  </si>
  <si>
    <t>PREGUNTA</t>
  </si>
  <si>
    <t>RECOMENDACIÓN</t>
  </si>
  <si>
    <t>¿Se han validado y aprobado formalmente todos los entregables de la entrevista (videoconferencia, minuta, acta de aceptación)?</t>
  </si>
  <si>
    <t>Validar las firmas de los documentos para que sean formalmente aprobados,  modo que quede constancia inequívoca de la aprobación de alcance y contenido por parte de tutor, cliente y equipo.</t>
  </si>
  <si>
    <t>¿Se han definido criterios de aceptación y casos de prueba
 que permitan medir objetivamente el cumplimiento del 
requisito?</t>
  </si>
  <si>
    <t>Implementar ajustes menores en el diseño de los casos de prueba para asegurar que el sistema se valide siguiendo el flujo real de navegación del usuario. Con esto, se busca garantizar que las pruebas cubran escenarios cotidianos y reduzcan la posibilidad de errores críticos en el entorno de producción.</t>
  </si>
  <si>
    <t>¿Existen validaciones que impidan eliminar o desactivar a un transportista que tiene un viaje activo o en ejecución?</t>
  </si>
  <si>
    <r>
      <rPr>
        <sz val="11"/>
        <color rgb="FF000000"/>
        <rFont val="Calibri"/>
      </rPr>
      <t xml:space="preserve">Establecer una restricción lógica que bloquee la opción de "Inactivar" si el transportista tiene el estado "Asignado" en el módulo de viajes. </t>
    </r>
    <r>
      <rPr>
        <sz val="11"/>
        <color rgb="FF000000"/>
        <rFont val="Calibri"/>
        <scheme val="minor"/>
      </rPr>
      <t>Esta medida preserva la continuidad operativa, evitando que un viaje quede sin responsable legal o logístico en el sistema a mitad de una ruta.</t>
    </r>
  </si>
  <si>
    <t>¿Se ha validado y aprobado formalmente el requerimiento RF-5 (Gestionar viajes) con los actores involucrados (Secretaria, Gerente, Transportista)?</t>
  </si>
  <si>
    <t>Establecer actas de validación o firmas digitales donde los stakeholders confirmen la aprobación del requerimiento, asegurando que el alcance, las funcionalidades (crear, cancelar, reprogramar viajes, etc.) y las responsabilidades estén claramente aceptadas por todas las partes.</t>
  </si>
  <si>
    <t>¿Se han definido criterios de aceptación y casos de prueba que permitan validar el cumplimiento del RF-5 Gestionar viajes?</t>
  </si>
  <si>
    <t>Definir criterios de aceptación en formato Given-When-Then para cada subproceso del requisito (crear, cancelar, asignar transportista, etc.), y asociarlos a casos de prueba funcionales que permitan verificar objetivamente el comportamiento esperado del sistema.</t>
  </si>
  <si>
    <t>Establecer firmas digitales o un acta de reunión oficial tras cada sesión de descubrimiento, de modo que quede constancia inequívoca de la aprobación de alcance y contenido por parte de tutor, cliente y equipo.</t>
  </si>
  <si>
    <t>Elaborar una lista de Criterios de Aceptación en formato Given-When-Then, asociada a pruebas unitarias o de aceptación automatizadas, de modo que cada criterio quede cubierto por al menos un caso de prueba.</t>
  </si>
  <si>
    <t>¿Se ha definido con precisión los requerimientos desde lo deseado por el promotor?
 que permitan medir objetivamente el cumplimiento del 
requisito?</t>
  </si>
  <si>
    <t xml:space="preserve">El requerimiento puede ser descrito con más detalle, y precisión; puesto que es importante que todas las interacciones se detallen de manera completa para el correcto diseño.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</si>
</sst>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1"/>
      <color rgb="FF000000"/>
      <name val="Calibri"/>
    </font>
    <font>
      <sz val="11"/>
      <color rgb="FF000000"/>
      <name val="Calibri"/>
      <scheme val="minor"/>
    </font>
    <font>
      <u/>
      <sz val="11"/>
      <color theme="1"/>
      <name val="Calibri"/>
      <scheme val="minor"/>
    </font>
  </fonts>
  <fills count="8">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s>
  <borders count="12">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63">
    <xf numFmtId="0" fontId="0" fillId="0" borderId="0" xfId="0" applyFont="1" applyAlignment="1"/>
    <xf numFmtId="0" fontId="1" fillId="0" borderId="0" xfId="0" applyFont="1" applyAlignment="1">
      <alignment horizontal="center"/>
    </xf>
    <xf numFmtId="0" fontId="3" fillId="0" borderId="0" xfId="0" applyFont="1" applyAlignment="1">
      <alignment horizontal="center" vertical="center" wrapText="1"/>
    </xf>
    <xf numFmtId="0" fontId="10" fillId="4"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0" xfId="0" applyFont="1"/>
    <xf numFmtId="0" fontId="11" fillId="3" borderId="5" xfId="0" applyFont="1" applyFill="1" applyBorder="1" applyAlignment="1">
      <alignment vertical="center" wrapText="1"/>
    </xf>
    <xf numFmtId="0" fontId="11" fillId="3" borderId="5" xfId="0" applyFont="1" applyFill="1" applyBorder="1" applyAlignment="1">
      <alignment horizontal="left" vertical="center" wrapText="1"/>
    </xf>
    <xf numFmtId="0" fontId="10" fillId="5" borderId="5"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7"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wrapText="1"/>
    </xf>
    <xf numFmtId="0" fontId="8" fillId="0" borderId="2" xfId="0" applyFont="1" applyBorder="1" applyAlignment="1">
      <alignment horizontal="center" vertical="center"/>
    </xf>
    <xf numFmtId="0" fontId="8" fillId="0" borderId="0" xfId="0" applyFont="1"/>
    <xf numFmtId="9" fontId="8" fillId="0" borderId="0" xfId="0" applyNumberFormat="1" applyFont="1"/>
    <xf numFmtId="0" fontId="8" fillId="0" borderId="3" xfId="0" applyFont="1" applyBorder="1" applyAlignment="1">
      <alignment horizontal="center" vertical="center"/>
    </xf>
    <xf numFmtId="0" fontId="8" fillId="0" borderId="0" xfId="0" applyFont="1" applyAlignment="1"/>
    <xf numFmtId="0" fontId="16" fillId="7" borderId="5" xfId="0" applyFont="1" applyFill="1" applyBorder="1" applyAlignment="1">
      <alignment horizontal="center" vertical="center"/>
    </xf>
    <xf numFmtId="0" fontId="8" fillId="0" borderId="5" xfId="0" applyFont="1" applyBorder="1" applyAlignment="1">
      <alignment wrapText="1"/>
    </xf>
    <xf numFmtId="0" fontId="8" fillId="0" borderId="5" xfId="0" applyFont="1" applyBorder="1" applyAlignment="1"/>
    <xf numFmtId="0" fontId="0" fillId="0" borderId="0" xfId="0" applyFont="1" applyAlignment="1"/>
    <xf numFmtId="0" fontId="0" fillId="0" borderId="0" xfId="0" applyFont="1" applyAlignment="1"/>
    <xf numFmtId="0" fontId="8" fillId="0" borderId="8" xfId="0" applyFont="1" applyBorder="1" applyAlignment="1">
      <alignment horizontal="center" vertical="center"/>
    </xf>
    <xf numFmtId="0" fontId="8" fillId="0" borderId="6"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7" fillId="0" borderId="5" xfId="0" applyFont="1" applyBorder="1" applyAlignment="1">
      <alignment wrapText="1"/>
    </xf>
    <xf numFmtId="0" fontId="19" fillId="0" borderId="0" xfId="0" applyFont="1" applyAlignment="1"/>
    <xf numFmtId="0" fontId="9" fillId="3" borderId="6"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xf numFmtId="0" fontId="13" fillId="0" borderId="0" xfId="0" applyFont="1" applyAlignment="1">
      <alignment horizontal="left" vertical="center"/>
    </xf>
    <xf numFmtId="0" fontId="7" fillId="2" borderId="2" xfId="0" applyFont="1" applyFill="1" applyBorder="1" applyAlignment="1">
      <alignment horizontal="center" vertical="center" wrapText="1"/>
    </xf>
    <xf numFmtId="0" fontId="5" fillId="0" borderId="9" xfId="0" applyFont="1" applyBorder="1" applyAlignment="1"/>
    <xf numFmtId="0" fontId="6" fillId="2" borderId="2"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xf numFmtId="0" fontId="3" fillId="0" borderId="0" xfId="0" applyFont="1" applyAlignment="1">
      <alignment horizontal="left" vertical="center" wrapText="1"/>
    </xf>
    <xf numFmtId="0" fontId="4" fillId="2" borderId="6" xfId="0" applyFont="1" applyFill="1" applyBorder="1" applyAlignment="1">
      <alignment horizontal="center" vertical="center"/>
    </xf>
    <xf numFmtId="0" fontId="5" fillId="0" borderId="1" xfId="0" applyFont="1" applyBorder="1" applyAlignment="1"/>
    <xf numFmtId="0" fontId="5" fillId="0" borderId="8" xfId="0" applyFont="1" applyBorder="1" applyAlignment="1"/>
    <xf numFmtId="0" fontId="6" fillId="2" borderId="3" xfId="0" applyFont="1" applyFill="1" applyBorder="1" applyAlignment="1">
      <alignment horizontal="center" vertical="center" wrapText="1"/>
    </xf>
    <xf numFmtId="0" fontId="5" fillId="0" borderId="4" xfId="0" applyFont="1" applyBorder="1" applyAlignment="1"/>
    <xf numFmtId="0" fontId="5" fillId="0" borderId="10" xfId="0" applyFont="1" applyBorder="1" applyAlignment="1"/>
    <xf numFmtId="0" fontId="5" fillId="0" borderId="7" xfId="0" applyFont="1" applyBorder="1" applyAlignment="1"/>
    <xf numFmtId="0" fontId="9" fillId="3" borderId="6" xfId="0" applyFont="1" applyFill="1" applyBorder="1" applyAlignment="1">
      <alignment horizontal="center" vertical="center" wrapText="1"/>
    </xf>
    <xf numFmtId="0" fontId="14" fillId="0" borderId="0" xfId="0" applyFont="1" applyAlignment="1">
      <alignment horizontal="left" vertical="top" wrapText="1"/>
    </xf>
    <xf numFmtId="15" fontId="14" fillId="0" borderId="0" xfId="0" applyNumberFormat="1" applyFont="1" applyAlignment="1">
      <alignment horizontal="left" wrapText="1"/>
    </xf>
    <xf numFmtId="0" fontId="13" fillId="0" borderId="0" xfId="0" applyFont="1" applyAlignment="1">
      <alignment horizontal="left" vertical="center"/>
    </xf>
    <xf numFmtId="0" fontId="15" fillId="0" borderId="11" xfId="0" applyFont="1" applyBorder="1" applyAlignment="1">
      <alignment horizontal="center" vertical="center"/>
    </xf>
    <xf numFmtId="0" fontId="5" fillId="0" borderId="11" xfId="0" applyFont="1" applyBorder="1" applyAlignment="1"/>
    <xf numFmtId="0" fontId="15" fillId="0" borderId="0" xfId="0" applyFont="1" applyAlignment="1">
      <alignment horizontal="center" vertical="center"/>
    </xf>
    <xf numFmtId="0" fontId="14" fillId="0" borderId="0" xfId="0" applyFont="1" applyAlignment="1">
      <alignment horizontal="left" wrapText="1"/>
    </xf>
    <xf numFmtId="0" fontId="13" fillId="0" borderId="0" xfId="0" applyFont="1" applyAlignment="1">
      <alignment horizontal="center"/>
    </xf>
  </cellXfs>
  <cellStyles count="1">
    <cellStyle name="Normal" xfId="0" builtinId="0"/>
  </cellStyles>
  <dxfs count="59">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8"/>
      <tableStyleElement type="firstRowStripe" dxfId="57"/>
      <tableStyleElement type="secondRowStripe" dxfId="56"/>
    </tableStyle>
    <tableStyle name="MODELO LISTA DE COMPROBACION - -style 2" pivot="0" count="3" xr9:uid="{00000000-0011-0000-FFFF-FFFF01000000}">
      <tableStyleElement type="headerRow" dxfId="55"/>
      <tableStyleElement type="firstRowStripe" dxfId="54"/>
      <tableStyleElement type="secondRowStripe" dxfId="53"/>
    </tableStyle>
    <tableStyle name="MODELO LISTA DE COMPROBACION - -style 3" pivot="0" count="3" xr9:uid="{00000000-0011-0000-FFFF-FFFF02000000}">
      <tableStyleElement type="headerRow" dxfId="52"/>
      <tableStyleElement type="firstRowStripe" dxfId="51"/>
      <tableStyleElement type="secondRowStripe" dxfId="50"/>
    </tableStyle>
    <tableStyle name="Hoja 1-style" pivot="0" count="3" xr9:uid="{00000000-0011-0000-FFFF-FFFF03000000}">
      <tableStyleElement type="headerRow" dxfId="49"/>
      <tableStyleElement type="firstRowStripe" dxfId="48"/>
      <tableStyleElement type="secondRowStripe" dxfId="47"/>
    </tableStyle>
    <tableStyle name="Hoja 1-style 2" pivot="0" count="3" xr9:uid="{00000000-0011-0000-FFFF-FFFF04000000}">
      <tableStyleElement type="headerRow" dxfId="46"/>
      <tableStyleElement type="firstRowStripe" dxfId="45"/>
      <tableStyleElement type="secondRowStripe" dxfId="44"/>
    </tableStyle>
    <tableStyle name="Hoja 1-style 3" pivot="0" count="3" xr9:uid="{00000000-0011-0000-FFFF-FFFF05000000}">
      <tableStyleElement type="headerRow" dxfId="43"/>
      <tableStyleElement type="firstRowStripe" dxfId="42"/>
      <tableStyleElement type="secondRowStripe" dxfId="41"/>
    </tableStyle>
    <tableStyle name="MODELO DE LISTA DE COMPROBACION-style" pivot="0" count="3" xr9:uid="{00000000-0011-0000-FFFF-FFFF06000000}">
      <tableStyleElement type="headerRow" dxfId="40"/>
      <tableStyleElement type="firstRowStripe" dxfId="39"/>
      <tableStyleElement type="secondRowStripe" dxfId="38"/>
    </tableStyle>
    <tableStyle name="MODELO DE LISTA DE COMPROBACION-style 2" pivot="0" count="3" xr9:uid="{00000000-0011-0000-FFFF-FFFF07000000}">
      <tableStyleElement type="headerRow" dxfId="37"/>
      <tableStyleElement type="firstRowStripe" dxfId="36"/>
      <tableStyleElement type="secondRowStripe" dxfId="35"/>
    </tableStyle>
    <tableStyle name="MODELO DE LISTA DE COMPROBACION-style 3" pivot="0" count="3" xr9:uid="{00000000-0011-0000-FFFF-FFFF08000000}">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A415-4588-A08C-3FEC489BA0AB}"/>
              </c:ext>
            </c:extLst>
          </c:dPt>
          <c:dPt>
            <c:idx val="1"/>
            <c:bubble3D val="0"/>
            <c:spPr>
              <a:solidFill>
                <a:srgbClr val="C0504D"/>
              </a:solidFill>
            </c:spPr>
            <c:extLst>
              <c:ext xmlns:c16="http://schemas.microsoft.com/office/drawing/2014/chart" uri="{C3380CC4-5D6E-409C-BE32-E72D297353CC}">
                <c16:uniqueId val="{00000003-A415-4588-A08C-3FEC489BA0AB}"/>
              </c:ext>
            </c:extLst>
          </c:dPt>
          <c:dPt>
            <c:idx val="2"/>
            <c:bubble3D val="0"/>
            <c:spPr>
              <a:solidFill>
                <a:srgbClr val="9BBB59"/>
              </a:solidFill>
            </c:spPr>
            <c:extLst>
              <c:ext xmlns:c16="http://schemas.microsoft.com/office/drawing/2014/chart" uri="{C3380CC4-5D6E-409C-BE32-E72D297353CC}">
                <c16:uniqueId val="{00000005-A415-4588-A08C-3FEC489BA0AB}"/>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RF4'!$B$41:$B$43</c:f>
              <c:strCache>
                <c:ptCount val="3"/>
                <c:pt idx="0">
                  <c:v>CONTENIDO </c:v>
                </c:pt>
                <c:pt idx="1">
                  <c:v>DOCUMENTACIÓN</c:v>
                </c:pt>
                <c:pt idx="2">
                  <c:v>NIVEL DE ACUERDO</c:v>
                </c:pt>
              </c:strCache>
            </c:strRef>
          </c:cat>
          <c:val>
            <c:numRef>
              <c:f>'MODELO LISTA DE COMPROBACIO RF4'!$C$41:$C$43</c:f>
              <c:numCache>
                <c:formatCode>General</c:formatCode>
                <c:ptCount val="3"/>
                <c:pt idx="0">
                  <c:v>89</c:v>
                </c:pt>
                <c:pt idx="1">
                  <c:v>100</c:v>
                </c:pt>
                <c:pt idx="2">
                  <c:v>100</c:v>
                </c:pt>
              </c:numCache>
            </c:numRef>
          </c:val>
          <c:extLst>
            <c:ext xmlns:c16="http://schemas.microsoft.com/office/drawing/2014/chart" uri="{C3380CC4-5D6E-409C-BE32-E72D297353CC}">
              <c16:uniqueId val="{00000006-A415-4588-A08C-3FEC489BA0AB}"/>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BBC2-45F5-8974-BBBEF71B5F44}"/>
              </c:ext>
            </c:extLst>
          </c:dPt>
          <c:dPt>
            <c:idx val="1"/>
            <c:bubble3D val="0"/>
            <c:spPr>
              <a:solidFill>
                <a:srgbClr val="C0504D"/>
              </a:solidFill>
            </c:spPr>
            <c:extLst>
              <c:ext xmlns:c16="http://schemas.microsoft.com/office/drawing/2014/chart" uri="{C3380CC4-5D6E-409C-BE32-E72D297353CC}">
                <c16:uniqueId val="{00000003-BBC2-45F5-8974-BBBEF71B5F44}"/>
              </c:ext>
            </c:extLst>
          </c:dPt>
          <c:dPt>
            <c:idx val="2"/>
            <c:bubble3D val="0"/>
            <c:spPr>
              <a:solidFill>
                <a:srgbClr val="9BBB59"/>
              </a:solidFill>
            </c:spPr>
            <c:extLst>
              <c:ext xmlns:c16="http://schemas.microsoft.com/office/drawing/2014/chart" uri="{C3380CC4-5D6E-409C-BE32-E72D297353CC}">
                <c16:uniqueId val="{00000005-BBC2-45F5-8974-BBBEF71B5F4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RF5'!$B$41:$B$43</c:f>
              <c:strCache>
                <c:ptCount val="3"/>
                <c:pt idx="0">
                  <c:v>CONTENIDO </c:v>
                </c:pt>
                <c:pt idx="1">
                  <c:v>DOCUMENTACIÓN</c:v>
                </c:pt>
                <c:pt idx="2">
                  <c:v>NIVEL DE ACUERDO</c:v>
                </c:pt>
              </c:strCache>
            </c:strRef>
          </c:cat>
          <c:val>
            <c:numRef>
              <c:f>'MODELO LISTA DE COMPROBACIO RF5'!$C$41:$C$43</c:f>
              <c:numCache>
                <c:formatCode>General</c:formatCode>
                <c:ptCount val="3"/>
                <c:pt idx="0">
                  <c:v>78</c:v>
                </c:pt>
                <c:pt idx="1">
                  <c:v>80</c:v>
                </c:pt>
                <c:pt idx="2">
                  <c:v>33</c:v>
                </c:pt>
              </c:numCache>
            </c:numRef>
          </c:val>
          <c:extLst>
            <c:ext xmlns:c16="http://schemas.microsoft.com/office/drawing/2014/chart" uri="{C3380CC4-5D6E-409C-BE32-E72D297353CC}">
              <c16:uniqueId val="{00000006-BBC2-45F5-8974-BBBEF71B5F44}"/>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02E2-40A1-86A6-A010660ADFE2}"/>
              </c:ext>
            </c:extLst>
          </c:dPt>
          <c:dPt>
            <c:idx val="1"/>
            <c:bubble3D val="0"/>
            <c:spPr>
              <a:solidFill>
                <a:srgbClr val="C0504D"/>
              </a:solidFill>
            </c:spPr>
            <c:extLst>
              <c:ext xmlns:c16="http://schemas.microsoft.com/office/drawing/2014/chart" uri="{C3380CC4-5D6E-409C-BE32-E72D297353CC}">
                <c16:uniqueId val="{00000003-02E2-40A1-86A6-A010660ADFE2}"/>
              </c:ext>
            </c:extLst>
          </c:dPt>
          <c:dPt>
            <c:idx val="2"/>
            <c:bubble3D val="0"/>
            <c:spPr>
              <a:solidFill>
                <a:srgbClr val="9BBB59"/>
              </a:solidFill>
            </c:spPr>
            <c:extLst>
              <c:ext xmlns:c16="http://schemas.microsoft.com/office/drawing/2014/chart" uri="{C3380CC4-5D6E-409C-BE32-E72D297353CC}">
                <c16:uniqueId val="{00000005-02E2-40A1-86A6-A010660ADFE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RF6'!$B$41:$B$43</c:f>
              <c:strCache>
                <c:ptCount val="3"/>
                <c:pt idx="0">
                  <c:v>CONTENIDO </c:v>
                </c:pt>
                <c:pt idx="1">
                  <c:v>DOCUMENTACIÓN</c:v>
                </c:pt>
                <c:pt idx="2">
                  <c:v>NIVEL DE ACUERDO</c:v>
                </c:pt>
              </c:strCache>
            </c:strRef>
          </c:cat>
          <c:val>
            <c:numRef>
              <c:f>'MODELO LISTA DE COMPROBACIO RF6'!$C$41:$C$43</c:f>
              <c:numCache>
                <c:formatCode>General</c:formatCode>
                <c:ptCount val="3"/>
                <c:pt idx="0">
                  <c:v>67</c:v>
                </c:pt>
                <c:pt idx="1">
                  <c:v>80</c:v>
                </c:pt>
                <c:pt idx="2">
                  <c:v>33</c:v>
                </c:pt>
              </c:numCache>
            </c:numRef>
          </c:val>
          <c:extLst>
            <c:ext xmlns:c16="http://schemas.microsoft.com/office/drawing/2014/chart" uri="{C3380CC4-5D6E-409C-BE32-E72D297353CC}">
              <c16:uniqueId val="{00000006-02E2-40A1-86A6-A010660ADFE2}"/>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A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409575</xdr:colOff>
      <xdr:row>44</xdr:row>
      <xdr:rowOff>38100</xdr:rowOff>
    </xdr:from>
    <xdr:ext cx="4286250" cy="2143125"/>
    <xdr:graphicFrame macro="">
      <xdr:nvGraphicFramePr>
        <xdr:cNvPr id="2" name="Chart 1">
          <a:extLst>
            <a:ext uri="{FF2B5EF4-FFF2-40B4-BE49-F238E27FC236}">
              <a16:creationId xmlns:a16="http://schemas.microsoft.com/office/drawing/2014/main" id="{D7F4CB98-0FC4-4809-B0DC-992A58280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409575</xdr:colOff>
      <xdr:row>44</xdr:row>
      <xdr:rowOff>38100</xdr:rowOff>
    </xdr:from>
    <xdr:ext cx="4286250" cy="2143125"/>
    <xdr:graphicFrame macro="">
      <xdr:nvGraphicFramePr>
        <xdr:cNvPr id="2" name="Chart 1">
          <a:extLst>
            <a:ext uri="{FF2B5EF4-FFF2-40B4-BE49-F238E27FC236}">
              <a16:creationId xmlns:a16="http://schemas.microsoft.com/office/drawing/2014/main" id="{4D240C3A-750F-4374-9056-B5EFA152B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409575</xdr:colOff>
      <xdr:row>44</xdr:row>
      <xdr:rowOff>38100</xdr:rowOff>
    </xdr:from>
    <xdr:ext cx="4286250" cy="2143125"/>
    <xdr:graphicFrame macro="">
      <xdr:nvGraphicFramePr>
        <xdr:cNvPr id="2" name="Chart 1">
          <a:extLst>
            <a:ext uri="{FF2B5EF4-FFF2-40B4-BE49-F238E27FC236}">
              <a16:creationId xmlns:a16="http://schemas.microsoft.com/office/drawing/2014/main" id="{7DB72620-3064-46A6-98FA-63799CEDF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C0D6C6-CA98-4BB6-B381-17CBB0750176}" name="Table_111" displayName="Table_111" ref="A7:D16">
  <tableColumns count="4">
    <tableColumn id="1" xr3:uid="{D590C8FA-BDFF-4F46-AB14-1C26B4980DE4}" name="No."/>
    <tableColumn id="2" xr3:uid="{1510BCD4-48A1-46FC-B486-80E106474E19}" name="Pregunta"/>
    <tableColumn id="3" xr3:uid="{92C50FE9-5097-4EE9-856B-42B4620B99B3}" name="SI"/>
    <tableColumn id="4" xr3:uid="{173DF3C5-0BBE-40B8-949D-EE8F6D312866}"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A8E29F-A2AC-4F70-9F45-EA01F1A96404}" name="Table_212" displayName="Table_212" ref="A21:D26">
  <tableColumns count="4">
    <tableColumn id="1" xr3:uid="{DB47C353-2679-4730-9BFA-F12A5D84FA98}" name="No."/>
    <tableColumn id="2" xr3:uid="{CD21AD67-92C9-4665-B476-45F6FE9F54C2}" name="Pregunta"/>
    <tableColumn id="3" xr3:uid="{CA3CC039-FABE-43E9-B4E2-70EC45AF7B9F}" name="SI"/>
    <tableColumn id="4" xr3:uid="{C614C268-8E7D-4A42-9FDD-CC7E43347BD1}"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D7DDC2E-F084-4FFA-BF89-6582AD2C82CF}" name="Table_313" displayName="Table_313" ref="A31:D34">
  <tableColumns count="4">
    <tableColumn id="1" xr3:uid="{4A852A3F-A912-4474-8AA0-B1CD9471B230}" name="No."/>
    <tableColumn id="2" xr3:uid="{64D11A86-830E-4C6E-9137-1AD039C1A088}" name="Pregunta"/>
    <tableColumn id="3" xr3:uid="{2A3F2536-10F4-4A5D-97D5-F0B9DBCEDA6B}" name="SI"/>
    <tableColumn id="4" xr3:uid="{2F0474CC-F2DA-4794-8D2E-83BE842FD7B3}"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392CCE-DBF9-45A8-9820-DC1874517423}" name="Table_11120" displayName="Table_11120" ref="A7:D16">
  <tableColumns count="4">
    <tableColumn id="1" xr3:uid="{FDEA39EB-78CF-4B1D-B269-D278C8EC7CC7}" name="No."/>
    <tableColumn id="2" xr3:uid="{6032843A-7AB2-424C-84A4-DE87A26ED6F9}" name="Pregunta"/>
    <tableColumn id="3" xr3:uid="{6FD1E356-9861-40A7-991A-8625B187F867}" name="SI"/>
    <tableColumn id="4" xr3:uid="{7CF74431-2553-41C7-A607-E33ABB77B40D}" name="NO "/>
  </tableColumns>
  <tableStyleInfo name="MODELO LISTA DE COMPROBACION -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A1F9142-E2BB-4C2A-BE48-82E8F2D53198}" name="Table_21221" displayName="Table_21221" ref="A21:D26">
  <tableColumns count="4">
    <tableColumn id="1" xr3:uid="{1CC79C6E-F763-4DA3-A39C-DBEE2FE2E6E5}" name="No."/>
    <tableColumn id="2" xr3:uid="{5612F318-CE6D-4D3F-94E3-F016649EAA4D}" name="Pregunta"/>
    <tableColumn id="3" xr3:uid="{94026F0E-667B-4BCA-8ED6-4635EC89808C}" name="SI"/>
    <tableColumn id="4" xr3:uid="{141160EE-E529-4643-B811-CAD045405E74}" name="NO "/>
  </tableColumns>
  <tableStyleInfo name="MODELO LISTA DE COMPROBACION - -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CFA728E-1BD6-4300-8793-CECEB0F95FEA}" name="Table_31322" displayName="Table_31322" ref="A31:D34">
  <tableColumns count="4">
    <tableColumn id="1" xr3:uid="{787869B1-3FE5-4FC5-A7D8-A597EDA56811}" name="No."/>
    <tableColumn id="2" xr3:uid="{8CB7FBC1-4318-4D43-BE18-25F681B55EE6}" name="Pregunta"/>
    <tableColumn id="3" xr3:uid="{A69CF7BC-4799-490C-9CCE-D66F315A8AD0}" name="SI"/>
    <tableColumn id="4" xr3:uid="{55E9BD37-C844-404C-9F9B-967282EEE0DB}" name="NO "/>
  </tableColumns>
  <tableStyleInfo name="MODELO LISTA DE COMPROBACION - -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4FFFBF-CEC4-4E5C-9C47-6EA4C680E2ED}" name="Table_11123" displayName="Table_11123" ref="A7:D16">
  <tableColumns count="4">
    <tableColumn id="1" xr3:uid="{3EE1565D-DDB8-494C-9A39-4192CCB05FF6}" name="No."/>
    <tableColumn id="2" xr3:uid="{CE5834B0-4483-47C1-A958-B5BEDA7EB1EE}" name="Pregunta"/>
    <tableColumn id="3" xr3:uid="{85D69C6D-6127-4919-8BE5-00C8CFA59D8A}" name="SI"/>
    <tableColumn id="4" xr3:uid="{806A7ACD-5E54-4C53-98FC-0B96122AE80C}" name="NO "/>
  </tableColumns>
  <tableStyleInfo name="MODELO LISTA DE COMPROBACION - -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EFFFAEF-359F-46AA-A733-394CC75018AF}" name="Table_21224" displayName="Table_21224" ref="A21:D26">
  <tableColumns count="4">
    <tableColumn id="1" xr3:uid="{40A3C62F-4928-44DF-B2DA-A5913C0DB8F3}" name="No."/>
    <tableColumn id="2" xr3:uid="{7AE8E86F-893B-43A9-833D-FE629F104ABA}" name="Pregunta"/>
    <tableColumn id="3" xr3:uid="{7567F5CA-9D35-475A-A522-A8C930D2175A}" name="SI"/>
    <tableColumn id="4" xr3:uid="{DEDBF7B7-652F-4FF7-906E-5491BDBB7473}" name="NO "/>
  </tableColumns>
  <tableStyleInfo name="MODELO LISTA DE COMPROBACION - -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DB8E3E2-7038-4A72-B2C2-02524EA875F1}" name="Table_31325" displayName="Table_31325" ref="A31:D34">
  <tableColumns count="4">
    <tableColumn id="1" xr3:uid="{25F66B50-F045-4E0E-B2BD-AF4724519AEA}" name="No."/>
    <tableColumn id="2" xr3:uid="{EC1BF022-1A8F-4863-B3E5-5115C6250149}" name="Pregunta"/>
    <tableColumn id="3" xr3:uid="{7ADBA49E-9E92-449C-9B3C-4C97CF62D39E}" name="SI"/>
    <tableColumn id="4" xr3:uid="{A8DD9731-850B-4B79-B3DE-9B4678DCE55D}" name="NO "/>
  </tableColumns>
  <tableStyleInfo name="MODELO LISTA DE COMPROBACION -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0"/>
  <sheetViews>
    <sheetView showGridLines="0" topLeftCell="A4" workbookViewId="0">
      <selection activeCell="K7" sqref="K7:K8"/>
    </sheetView>
  </sheetViews>
  <sheetFormatPr defaultColWidth="14.42578125" defaultRowHeight="15" customHeight="1"/>
  <cols>
    <col min="1" max="1" width="4.5703125" customWidth="1"/>
    <col min="2" max="2" width="4.42578125" customWidth="1"/>
    <col min="3" max="3" width="3.7109375" customWidth="1"/>
    <col min="4" max="4" width="34.7109375" customWidth="1"/>
    <col min="5" max="5" width="9.7109375" customWidth="1"/>
    <col min="6" max="6" width="42.7109375" customWidth="1"/>
    <col min="7" max="7" width="10.140625" customWidth="1"/>
    <col min="8" max="8" width="4.7109375" hidden="1" customWidth="1"/>
    <col min="9" max="9" width="42.7109375" customWidth="1"/>
    <col min="10" max="10" width="9.7109375" customWidth="1"/>
    <col min="11" max="11" width="39.5703125" customWidth="1"/>
    <col min="12" max="27" width="11.42578125" customWidth="1"/>
  </cols>
  <sheetData>
    <row r="1" spans="2:11" ht="14.25" customHeight="1">
      <c r="B1" s="39"/>
      <c r="C1" s="1"/>
      <c r="D1" s="39"/>
      <c r="E1" s="39"/>
      <c r="F1" s="39"/>
      <c r="G1" s="39"/>
      <c r="H1" s="39"/>
      <c r="I1" s="39"/>
      <c r="J1" s="39"/>
      <c r="K1" s="39"/>
    </row>
    <row r="2" spans="2:11" ht="14.25" customHeight="1">
      <c r="B2" s="39"/>
      <c r="C2" s="1"/>
      <c r="D2" s="39"/>
      <c r="E2" s="39"/>
      <c r="F2" s="39"/>
      <c r="G2" s="39"/>
      <c r="H2" s="39"/>
      <c r="I2" s="39"/>
      <c r="J2" s="39"/>
      <c r="K2" s="39"/>
    </row>
    <row r="3" spans="2:11" ht="30" customHeight="1">
      <c r="B3" s="39"/>
      <c r="C3" s="44" t="s">
        <v>0</v>
      </c>
      <c r="D3" s="45"/>
      <c r="E3" s="45"/>
      <c r="F3" s="45"/>
      <c r="G3" s="45"/>
      <c r="H3" s="45"/>
      <c r="I3" s="45"/>
      <c r="J3" s="45"/>
      <c r="K3" s="45"/>
    </row>
    <row r="4" spans="2:11" ht="30" customHeight="1">
      <c r="B4" s="39"/>
      <c r="C4" s="45"/>
      <c r="D4" s="45"/>
      <c r="E4" s="45"/>
      <c r="F4" s="45"/>
      <c r="G4" s="45"/>
      <c r="H4" s="45"/>
      <c r="I4" s="45"/>
      <c r="J4" s="45"/>
      <c r="K4" s="45"/>
    </row>
    <row r="5" spans="2:11" ht="30" customHeight="1">
      <c r="B5" s="39"/>
      <c r="C5" s="38"/>
      <c r="D5" s="2" t="s">
        <v>1</v>
      </c>
      <c r="E5" s="46" t="s">
        <v>2</v>
      </c>
      <c r="F5" s="45"/>
      <c r="G5" s="45"/>
      <c r="H5" s="45"/>
      <c r="I5" s="45"/>
      <c r="J5" s="45"/>
      <c r="K5" s="45"/>
    </row>
    <row r="6" spans="2:11" ht="55.5" customHeight="1">
      <c r="B6" s="39"/>
      <c r="C6" s="1"/>
      <c r="D6" s="39"/>
      <c r="E6" s="39"/>
      <c r="F6" s="47" t="s">
        <v>3</v>
      </c>
      <c r="G6" s="48"/>
      <c r="H6" s="48"/>
      <c r="I6" s="48"/>
      <c r="J6" s="48"/>
      <c r="K6" s="49"/>
    </row>
    <row r="7" spans="2:11" ht="45" customHeight="1">
      <c r="B7" s="43" t="s">
        <v>4</v>
      </c>
      <c r="C7" s="50" t="s">
        <v>5</v>
      </c>
      <c r="D7" s="51"/>
      <c r="E7" s="41" t="s">
        <v>6</v>
      </c>
      <c r="F7" s="43" t="s">
        <v>7</v>
      </c>
      <c r="G7" s="41" t="s">
        <v>6</v>
      </c>
      <c r="H7" s="43" t="s">
        <v>8</v>
      </c>
      <c r="I7" s="43" t="s">
        <v>9</v>
      </c>
      <c r="J7" s="41" t="s">
        <v>6</v>
      </c>
      <c r="K7" s="43" t="s">
        <v>10</v>
      </c>
    </row>
    <row r="8" spans="2:11" ht="60" customHeight="1">
      <c r="B8" s="42"/>
      <c r="C8" s="52"/>
      <c r="D8" s="53"/>
      <c r="E8" s="42"/>
      <c r="F8" s="42"/>
      <c r="G8" s="42"/>
      <c r="H8" s="42"/>
      <c r="I8" s="42"/>
      <c r="J8" s="42"/>
      <c r="K8" s="42"/>
    </row>
    <row r="9" spans="2:11" ht="75.75" customHeight="1">
      <c r="B9" s="37">
        <v>1</v>
      </c>
      <c r="C9" s="54" t="s">
        <v>11</v>
      </c>
      <c r="D9" s="49"/>
      <c r="E9" s="3" t="s">
        <v>12</v>
      </c>
      <c r="F9" s="4" t="s">
        <v>13</v>
      </c>
      <c r="G9" s="3" t="s">
        <v>12</v>
      </c>
      <c r="H9" s="5"/>
      <c r="I9" s="4" t="s">
        <v>14</v>
      </c>
      <c r="J9" s="3" t="s">
        <v>12</v>
      </c>
      <c r="K9" s="4" t="s">
        <v>15</v>
      </c>
    </row>
    <row r="10" spans="2:11" ht="75" customHeight="1">
      <c r="B10" s="37">
        <v>2</v>
      </c>
      <c r="C10" s="54" t="s">
        <v>16</v>
      </c>
      <c r="D10" s="49"/>
      <c r="E10" s="8" t="s">
        <v>17</v>
      </c>
      <c r="F10" s="6" t="s">
        <v>18</v>
      </c>
      <c r="G10" s="8" t="s">
        <v>17</v>
      </c>
      <c r="H10" s="39"/>
      <c r="I10" s="6" t="s">
        <v>18</v>
      </c>
      <c r="J10" s="8" t="s">
        <v>17</v>
      </c>
      <c r="K10" s="6" t="s">
        <v>19</v>
      </c>
    </row>
    <row r="11" spans="2:11" ht="73.5" customHeight="1">
      <c r="B11" s="37">
        <v>3</v>
      </c>
      <c r="C11" s="54" t="s">
        <v>20</v>
      </c>
      <c r="D11" s="49"/>
      <c r="E11" s="3" t="s">
        <v>12</v>
      </c>
      <c r="F11" s="6" t="s">
        <v>21</v>
      </c>
      <c r="G11" s="3" t="s">
        <v>12</v>
      </c>
      <c r="H11" s="39"/>
      <c r="I11" s="6" t="s">
        <v>21</v>
      </c>
      <c r="J11" s="8" t="s">
        <v>17</v>
      </c>
      <c r="K11" s="6" t="s">
        <v>21</v>
      </c>
    </row>
    <row r="12" spans="2:11" ht="99" customHeight="1">
      <c r="B12" s="37">
        <v>4</v>
      </c>
      <c r="C12" s="54" t="s">
        <v>22</v>
      </c>
      <c r="D12" s="49"/>
      <c r="E12" s="3" t="s">
        <v>12</v>
      </c>
      <c r="F12" s="7" t="s">
        <v>23</v>
      </c>
      <c r="G12" s="8" t="s">
        <v>17</v>
      </c>
      <c r="H12" s="39"/>
      <c r="I12" s="7" t="s">
        <v>24</v>
      </c>
      <c r="J12" s="8" t="s">
        <v>17</v>
      </c>
      <c r="K12" s="7" t="s">
        <v>23</v>
      </c>
    </row>
    <row r="13" spans="2:11" ht="104.25" customHeight="1">
      <c r="B13" s="37">
        <v>5</v>
      </c>
      <c r="C13" s="54" t="s">
        <v>25</v>
      </c>
      <c r="D13" s="49"/>
      <c r="E13" s="3" t="s">
        <v>12</v>
      </c>
      <c r="F13" s="7" t="s">
        <v>26</v>
      </c>
      <c r="G13" s="3" t="s">
        <v>12</v>
      </c>
      <c r="H13" s="39"/>
      <c r="I13" s="7" t="s">
        <v>26</v>
      </c>
      <c r="J13" s="3" t="s">
        <v>12</v>
      </c>
      <c r="K13" s="7" t="s">
        <v>26</v>
      </c>
    </row>
    <row r="14" spans="2:11" ht="94.5" customHeight="1">
      <c r="B14" s="37">
        <v>6</v>
      </c>
      <c r="C14" s="54" t="s">
        <v>27</v>
      </c>
      <c r="D14" s="49"/>
      <c r="E14" s="3" t="s">
        <v>12</v>
      </c>
      <c r="F14" s="7" t="s">
        <v>28</v>
      </c>
      <c r="G14" s="3" t="s">
        <v>12</v>
      </c>
      <c r="H14" s="39"/>
      <c r="I14" s="7" t="s">
        <v>29</v>
      </c>
      <c r="J14" s="3" t="s">
        <v>12</v>
      </c>
      <c r="K14" s="7" t="s">
        <v>28</v>
      </c>
    </row>
    <row r="15" spans="2:11" ht="84" customHeight="1">
      <c r="B15" s="37">
        <v>7</v>
      </c>
      <c r="C15" s="54" t="s">
        <v>30</v>
      </c>
      <c r="D15" s="49"/>
      <c r="E15" s="8" t="s">
        <v>17</v>
      </c>
      <c r="F15" s="7" t="s">
        <v>31</v>
      </c>
      <c r="G15" s="8" t="s">
        <v>17</v>
      </c>
      <c r="H15" s="39"/>
      <c r="I15" s="7" t="s">
        <v>32</v>
      </c>
      <c r="J15" s="8" t="s">
        <v>17</v>
      </c>
      <c r="K15" s="7" t="s">
        <v>33</v>
      </c>
    </row>
    <row r="16" spans="2:11" ht="131.25" customHeight="1">
      <c r="B16" s="37">
        <v>8</v>
      </c>
      <c r="C16" s="54" t="s">
        <v>34</v>
      </c>
      <c r="D16" s="49"/>
      <c r="E16" s="8" t="s">
        <v>17</v>
      </c>
      <c r="F16" s="7" t="s">
        <v>35</v>
      </c>
      <c r="G16" s="8" t="s">
        <v>17</v>
      </c>
      <c r="H16" s="39"/>
      <c r="I16" s="7" t="s">
        <v>36</v>
      </c>
      <c r="J16" s="8" t="s">
        <v>17</v>
      </c>
      <c r="K16" s="7" t="s">
        <v>37</v>
      </c>
    </row>
    <row r="17" spans="2:11" ht="104.25" customHeight="1">
      <c r="B17" s="37">
        <v>9</v>
      </c>
      <c r="C17" s="54" t="s">
        <v>38</v>
      </c>
      <c r="D17" s="49"/>
      <c r="E17" s="3" t="s">
        <v>12</v>
      </c>
      <c r="F17" s="9" t="s">
        <v>39</v>
      </c>
      <c r="G17" s="3" t="s">
        <v>12</v>
      </c>
      <c r="H17" s="39"/>
      <c r="I17" s="9" t="s">
        <v>40</v>
      </c>
      <c r="J17" s="3" t="s">
        <v>12</v>
      </c>
      <c r="K17" s="9" t="s">
        <v>41</v>
      </c>
    </row>
    <row r="18" spans="2:11" ht="132" customHeight="1">
      <c r="B18" s="37">
        <v>10</v>
      </c>
      <c r="C18" s="54" t="s">
        <v>42</v>
      </c>
      <c r="D18" s="49"/>
      <c r="E18" s="3" t="s">
        <v>12</v>
      </c>
      <c r="F18" s="7" t="s">
        <v>43</v>
      </c>
      <c r="G18" s="3" t="s">
        <v>12</v>
      </c>
      <c r="H18" s="39"/>
      <c r="I18" s="7" t="s">
        <v>43</v>
      </c>
      <c r="J18" s="3" t="s">
        <v>12</v>
      </c>
      <c r="K18" s="7" t="s">
        <v>43</v>
      </c>
    </row>
    <row r="19" spans="2:11" ht="99.75" customHeight="1">
      <c r="B19" s="37">
        <v>11</v>
      </c>
      <c r="C19" s="54" t="s">
        <v>44</v>
      </c>
      <c r="D19" s="49"/>
      <c r="E19" s="8" t="s">
        <v>17</v>
      </c>
      <c r="F19" s="7" t="s">
        <v>45</v>
      </c>
      <c r="G19" s="8" t="s">
        <v>17</v>
      </c>
      <c r="H19" s="39"/>
      <c r="I19" s="7" t="s">
        <v>46</v>
      </c>
      <c r="J19" s="8" t="s">
        <v>17</v>
      </c>
      <c r="K19" s="7" t="s">
        <v>47</v>
      </c>
    </row>
    <row r="20" spans="2:11" ht="14.25" customHeight="1">
      <c r="B20" s="39"/>
      <c r="C20" s="1"/>
      <c r="D20" s="39"/>
      <c r="E20" s="39"/>
      <c r="F20" s="39"/>
      <c r="G20" s="39"/>
      <c r="H20" s="39"/>
      <c r="I20" s="39"/>
      <c r="J20" s="39"/>
      <c r="K20" s="39"/>
    </row>
    <row r="21" spans="2:11" ht="14.25" customHeight="1">
      <c r="B21" s="39"/>
      <c r="C21" s="1"/>
      <c r="D21" s="39"/>
      <c r="E21" s="39"/>
      <c r="F21" s="39"/>
      <c r="G21" s="39"/>
      <c r="H21" s="39"/>
      <c r="I21" s="39"/>
      <c r="J21" s="39"/>
      <c r="K21" s="39"/>
    </row>
    <row r="22" spans="2:11" ht="14.25" customHeight="1">
      <c r="B22" s="39"/>
      <c r="C22" s="1"/>
      <c r="D22" s="39"/>
      <c r="E22" s="39"/>
      <c r="F22" s="39"/>
      <c r="G22" s="39"/>
      <c r="H22" s="39"/>
      <c r="I22" s="39"/>
      <c r="J22" s="39"/>
      <c r="K22" s="39"/>
    </row>
    <row r="23" spans="2:11" ht="14.25" customHeight="1">
      <c r="B23" s="39"/>
      <c r="C23" s="1"/>
      <c r="D23" s="39"/>
      <c r="E23" s="39"/>
      <c r="F23" s="39"/>
      <c r="G23" s="39"/>
      <c r="H23" s="39"/>
      <c r="I23" s="39"/>
      <c r="J23" s="39"/>
      <c r="K23" s="39"/>
    </row>
    <row r="24" spans="2:11" ht="14.25" customHeight="1">
      <c r="B24" s="39"/>
      <c r="C24" s="1"/>
      <c r="D24" s="39"/>
      <c r="E24" s="39"/>
      <c r="F24" s="39"/>
      <c r="G24" s="39"/>
      <c r="H24" s="39"/>
      <c r="I24" s="39"/>
      <c r="J24" s="39"/>
      <c r="K24" s="39"/>
    </row>
    <row r="25" spans="2:11" ht="14.25" customHeight="1">
      <c r="B25" s="39"/>
      <c r="C25" s="1"/>
      <c r="D25" s="39"/>
      <c r="E25" s="39"/>
      <c r="F25" s="39"/>
      <c r="G25" s="39"/>
      <c r="H25" s="39"/>
      <c r="I25" s="39"/>
      <c r="J25" s="39"/>
      <c r="K25" s="39"/>
    </row>
    <row r="26" spans="2:11" ht="14.25" customHeight="1">
      <c r="B26" s="39"/>
      <c r="C26" s="1"/>
      <c r="D26" s="39"/>
      <c r="E26" s="39"/>
      <c r="F26" s="39"/>
      <c r="G26" s="39"/>
      <c r="H26" s="39"/>
      <c r="I26" s="39"/>
      <c r="J26" s="39"/>
      <c r="K26" s="39"/>
    </row>
    <row r="27" spans="2:11" ht="14.25" customHeight="1">
      <c r="B27" s="39"/>
      <c r="C27" s="1"/>
      <c r="D27" s="39"/>
      <c r="E27" s="39"/>
      <c r="F27" s="39"/>
      <c r="G27" s="39"/>
      <c r="H27" s="39"/>
      <c r="I27" s="39"/>
      <c r="J27" s="39"/>
      <c r="K27" s="39"/>
    </row>
    <row r="28" spans="2:11" ht="14.25" customHeight="1">
      <c r="B28" s="39"/>
      <c r="C28" s="1"/>
      <c r="D28" s="39"/>
      <c r="E28" s="39"/>
      <c r="F28" s="39"/>
      <c r="G28" s="39"/>
      <c r="H28" s="39"/>
      <c r="I28" s="39"/>
      <c r="J28" s="39"/>
      <c r="K28" s="39"/>
    </row>
    <row r="29" spans="2:11" ht="14.25" customHeight="1">
      <c r="B29" s="39"/>
      <c r="C29" s="1"/>
      <c r="D29" s="39"/>
      <c r="E29" s="39"/>
      <c r="F29" s="39"/>
      <c r="G29" s="39"/>
      <c r="H29" s="39"/>
      <c r="I29" s="39"/>
      <c r="J29" s="39"/>
      <c r="K29" s="39"/>
    </row>
    <row r="30" spans="2:11" ht="14.25" customHeight="1">
      <c r="B30" s="39"/>
      <c r="C30" s="1"/>
      <c r="D30" s="39"/>
      <c r="E30" s="39"/>
      <c r="F30" s="39"/>
      <c r="G30" s="39"/>
      <c r="H30" s="39"/>
      <c r="I30" s="39"/>
      <c r="J30" s="39"/>
      <c r="K30" s="39"/>
    </row>
    <row r="31" spans="2:11" ht="14.25" customHeight="1">
      <c r="B31" s="39"/>
      <c r="C31" s="1"/>
      <c r="D31" s="39"/>
      <c r="E31" s="39"/>
      <c r="F31" s="39"/>
      <c r="G31" s="39"/>
      <c r="H31" s="39"/>
      <c r="I31" s="39"/>
      <c r="J31" s="39"/>
      <c r="K31" s="39"/>
    </row>
    <row r="32" spans="2:11" ht="14.25" customHeight="1">
      <c r="B32" s="39"/>
      <c r="C32" s="1"/>
      <c r="D32" s="39"/>
      <c r="E32" s="39"/>
      <c r="F32" s="39"/>
      <c r="G32" s="39"/>
      <c r="H32" s="39"/>
      <c r="I32" s="39"/>
      <c r="J32" s="39"/>
      <c r="K32" s="39"/>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sheetData>
  <mergeCells count="23">
    <mergeCell ref="C17:D17"/>
    <mergeCell ref="C18:D18"/>
    <mergeCell ref="C19:D19"/>
    <mergeCell ref="C9:D9"/>
    <mergeCell ref="C10:D10"/>
    <mergeCell ref="C11:D11"/>
    <mergeCell ref="C12:D12"/>
    <mergeCell ref="C13:D13"/>
    <mergeCell ref="C14:D14"/>
    <mergeCell ref="C15:D15"/>
    <mergeCell ref="B7:B8"/>
    <mergeCell ref="C7:D8"/>
    <mergeCell ref="E7:E8"/>
    <mergeCell ref="F7:F8"/>
    <mergeCell ref="C16:D16"/>
    <mergeCell ref="G7:G8"/>
    <mergeCell ref="I7:I8"/>
    <mergeCell ref="J7:J8"/>
    <mergeCell ref="K7:K8"/>
    <mergeCell ref="C3:K4"/>
    <mergeCell ref="E5:K5"/>
    <mergeCell ref="F6:K6"/>
    <mergeCell ref="H7:H8"/>
  </mergeCells>
  <printOptions horizontalCentered="1" verticalCentered="1"/>
  <pageMargins left="0.47"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73065-2CA8-4B5D-9A6B-2D5AD3061FDA}">
  <dimension ref="A1:O1000"/>
  <sheetViews>
    <sheetView topLeftCell="A13" workbookViewId="0">
      <selection activeCell="C4" sqref="C4:D4"/>
    </sheetView>
  </sheetViews>
  <sheetFormatPr defaultColWidth="14.42578125" defaultRowHeight="15" customHeight="1"/>
  <cols>
    <col min="1" max="1" width="10.7109375" style="27" customWidth="1"/>
    <col min="2" max="2" width="34.5703125" style="27" customWidth="1"/>
    <col min="3" max="3" width="16.140625" style="27" customWidth="1"/>
    <col min="4" max="15" width="10.7109375" style="27" customWidth="1"/>
    <col min="16" max="16384" width="14.42578125" style="27"/>
  </cols>
  <sheetData>
    <row r="1" spans="1:15" ht="51" customHeight="1">
      <c r="A1" s="10"/>
      <c r="B1" s="11" t="s">
        <v>1</v>
      </c>
      <c r="C1" s="55" t="s">
        <v>48</v>
      </c>
      <c r="D1" s="45"/>
      <c r="E1" s="10"/>
      <c r="F1" s="10"/>
      <c r="G1" s="10"/>
      <c r="H1" s="10"/>
      <c r="I1" s="10"/>
      <c r="J1" s="10"/>
      <c r="K1" s="10"/>
      <c r="L1" s="10"/>
      <c r="M1" s="10"/>
      <c r="N1" s="10"/>
      <c r="O1" s="10"/>
    </row>
    <row r="2" spans="1:15" ht="14.25" customHeight="1">
      <c r="A2" s="39"/>
      <c r="B2" s="12" t="s">
        <v>49</v>
      </c>
      <c r="C2" s="56">
        <v>46126</v>
      </c>
      <c r="D2" s="45"/>
      <c r="E2" s="39"/>
      <c r="F2" s="39"/>
      <c r="G2" s="39"/>
      <c r="H2" s="39"/>
      <c r="I2" s="39"/>
      <c r="J2" s="39"/>
      <c r="K2" s="39"/>
      <c r="L2" s="39"/>
      <c r="M2" s="39"/>
      <c r="N2" s="39"/>
      <c r="O2" s="39"/>
    </row>
    <row r="3" spans="1:15" ht="14.25" customHeight="1">
      <c r="A3" s="39"/>
      <c r="B3" s="12" t="s">
        <v>50</v>
      </c>
      <c r="C3" s="61" t="s">
        <v>51</v>
      </c>
      <c r="D3" s="45"/>
      <c r="E3" s="39"/>
      <c r="F3" s="39"/>
      <c r="G3" s="39"/>
      <c r="H3" s="39"/>
      <c r="I3" s="39"/>
      <c r="J3" s="39"/>
      <c r="K3" s="39"/>
      <c r="L3" s="39"/>
      <c r="M3" s="39"/>
      <c r="N3" s="39"/>
      <c r="O3" s="39"/>
    </row>
    <row r="4" spans="1:15" ht="14.25" customHeight="1">
      <c r="A4" s="39"/>
      <c r="B4" s="12" t="s">
        <v>52</v>
      </c>
      <c r="C4" s="61" t="s">
        <v>53</v>
      </c>
      <c r="D4" s="45"/>
      <c r="E4" s="39"/>
      <c r="F4" s="39"/>
      <c r="G4" s="39"/>
      <c r="H4" s="39"/>
      <c r="I4" s="39"/>
      <c r="J4" s="39"/>
      <c r="K4" s="39"/>
      <c r="L4" s="39"/>
      <c r="M4" s="39"/>
      <c r="N4" s="39"/>
      <c r="O4" s="39"/>
    </row>
    <row r="5" spans="1:15" ht="14.25" customHeight="1">
      <c r="A5" s="39"/>
      <c r="B5" s="39"/>
      <c r="C5" s="39"/>
      <c r="D5" s="39"/>
      <c r="E5" s="39"/>
      <c r="F5" s="39"/>
      <c r="G5" s="39"/>
      <c r="H5" s="39"/>
      <c r="I5" s="39"/>
      <c r="J5" s="39"/>
      <c r="K5" s="39"/>
      <c r="L5" s="39"/>
      <c r="M5" s="39"/>
      <c r="N5" s="39"/>
      <c r="O5" s="39"/>
    </row>
    <row r="6" spans="1:15" ht="14.25" customHeight="1">
      <c r="A6" s="60" t="s">
        <v>54</v>
      </c>
      <c r="B6" s="45"/>
      <c r="C6" s="45"/>
      <c r="D6" s="45"/>
      <c r="E6" s="39"/>
      <c r="F6" s="39"/>
      <c r="G6" s="39"/>
      <c r="H6" s="39"/>
      <c r="I6" s="39"/>
      <c r="J6" s="39"/>
      <c r="K6" s="39"/>
      <c r="L6" s="39"/>
      <c r="M6" s="39"/>
      <c r="N6" s="39"/>
      <c r="O6" s="39"/>
    </row>
    <row r="7" spans="1:15" ht="15" customHeight="1">
      <c r="A7" s="13" t="s">
        <v>55</v>
      </c>
      <c r="B7" s="14" t="s">
        <v>56</v>
      </c>
      <c r="C7" s="14" t="s">
        <v>57</v>
      </c>
      <c r="D7" s="15" t="s">
        <v>58</v>
      </c>
      <c r="E7" s="39"/>
      <c r="F7" s="39"/>
      <c r="G7" s="39"/>
      <c r="H7" s="39"/>
      <c r="I7" s="39"/>
      <c r="J7" s="39"/>
      <c r="K7" s="39"/>
      <c r="L7" s="39"/>
      <c r="M7" s="39"/>
      <c r="N7" s="39"/>
      <c r="O7" s="39"/>
    </row>
    <row r="8" spans="1:15" ht="33.75" customHeight="1">
      <c r="A8" s="29">
        <v>1</v>
      </c>
      <c r="B8" s="25" t="s">
        <v>59</v>
      </c>
      <c r="C8" s="16" t="s">
        <v>60</v>
      </c>
      <c r="D8" s="30"/>
      <c r="E8" s="39"/>
      <c r="F8" s="39"/>
      <c r="G8" s="39"/>
      <c r="H8" s="39"/>
      <c r="I8" s="39"/>
      <c r="J8" s="39"/>
      <c r="K8" s="39"/>
      <c r="L8" s="39"/>
      <c r="M8" s="39"/>
      <c r="N8" s="39"/>
      <c r="O8" s="39"/>
    </row>
    <row r="9" spans="1:15" ht="57" customHeight="1">
      <c r="A9" s="29">
        <v>2</v>
      </c>
      <c r="B9" s="25" t="s">
        <v>61</v>
      </c>
      <c r="C9" s="25"/>
      <c r="D9" s="16" t="s">
        <v>60</v>
      </c>
      <c r="E9" s="39"/>
      <c r="F9" s="39"/>
      <c r="G9" s="39"/>
      <c r="H9" s="39"/>
      <c r="I9" s="39"/>
      <c r="J9" s="39"/>
      <c r="K9" s="39"/>
      <c r="L9" s="39"/>
      <c r="M9" s="39"/>
      <c r="N9" s="39"/>
      <c r="O9" s="39"/>
    </row>
    <row r="10" spans="1:15" ht="67.5" customHeight="1">
      <c r="A10" s="29">
        <v>3</v>
      </c>
      <c r="B10" s="25" t="s">
        <v>62</v>
      </c>
      <c r="C10" s="16" t="s">
        <v>60</v>
      </c>
      <c r="D10" s="30"/>
      <c r="E10" s="39"/>
      <c r="F10" s="39"/>
      <c r="G10" s="39"/>
      <c r="H10" s="39"/>
      <c r="I10" s="39"/>
      <c r="J10" s="39"/>
      <c r="K10" s="39"/>
      <c r="L10" s="39"/>
      <c r="M10" s="39"/>
      <c r="N10" s="39"/>
      <c r="O10" s="39"/>
    </row>
    <row r="11" spans="1:15" ht="52.5" customHeight="1">
      <c r="A11" s="29">
        <v>4</v>
      </c>
      <c r="B11" s="25" t="s">
        <v>63</v>
      </c>
      <c r="C11" s="16" t="s">
        <v>60</v>
      </c>
      <c r="D11" s="30"/>
      <c r="E11" s="39"/>
      <c r="F11" s="39"/>
      <c r="G11" s="39"/>
      <c r="H11" s="39"/>
      <c r="I11" s="39"/>
      <c r="J11" s="39"/>
      <c r="K11" s="39"/>
      <c r="L11" s="39"/>
      <c r="M11" s="39"/>
      <c r="N11" s="39"/>
      <c r="O11" s="39"/>
    </row>
    <row r="12" spans="1:15" ht="51" customHeight="1">
      <c r="A12" s="29">
        <v>5</v>
      </c>
      <c r="B12" s="25" t="s">
        <v>64</v>
      </c>
      <c r="C12" s="16" t="s">
        <v>60</v>
      </c>
      <c r="D12" s="30"/>
      <c r="E12" s="39"/>
      <c r="F12" s="39"/>
      <c r="G12" s="39"/>
      <c r="H12" s="39"/>
      <c r="I12" s="39"/>
      <c r="J12" s="39"/>
      <c r="K12" s="39"/>
      <c r="L12" s="39"/>
      <c r="M12" s="39"/>
      <c r="N12" s="39"/>
      <c r="O12" s="39"/>
    </row>
    <row r="13" spans="1:15" ht="63" customHeight="1">
      <c r="A13" s="29">
        <v>6</v>
      </c>
      <c r="B13" s="25" t="s">
        <v>65</v>
      </c>
      <c r="C13" s="16" t="s">
        <v>60</v>
      </c>
      <c r="D13" s="30"/>
      <c r="E13" s="39"/>
      <c r="F13" s="39"/>
      <c r="G13" s="39"/>
      <c r="H13" s="39"/>
      <c r="I13" s="39"/>
      <c r="J13" s="39"/>
      <c r="K13" s="39"/>
      <c r="L13" s="39"/>
      <c r="M13" s="39"/>
      <c r="N13" s="39"/>
      <c r="O13" s="39"/>
    </row>
    <row r="14" spans="1:15" ht="48" customHeight="1">
      <c r="A14" s="29">
        <v>7</v>
      </c>
      <c r="B14" s="25" t="s">
        <v>66</v>
      </c>
      <c r="C14" s="16" t="s">
        <v>60</v>
      </c>
      <c r="D14" s="30"/>
      <c r="E14" s="39"/>
      <c r="F14" s="39"/>
      <c r="G14" s="39"/>
      <c r="H14" s="39"/>
      <c r="I14" s="39"/>
      <c r="J14" s="39"/>
      <c r="K14" s="39"/>
      <c r="L14" s="39"/>
      <c r="M14" s="39"/>
      <c r="N14" s="39"/>
      <c r="O14" s="39"/>
    </row>
    <row r="15" spans="1:15" ht="46.5" customHeight="1">
      <c r="A15" s="29">
        <v>8</v>
      </c>
      <c r="B15" s="25" t="s">
        <v>67</v>
      </c>
      <c r="C15" s="16" t="s">
        <v>60</v>
      </c>
      <c r="D15" s="30"/>
      <c r="E15" s="39"/>
      <c r="F15" s="39"/>
      <c r="G15" s="39"/>
      <c r="H15" s="39"/>
      <c r="I15" s="39"/>
      <c r="J15" s="39"/>
      <c r="K15" s="39"/>
      <c r="L15" s="39"/>
      <c r="M15" s="39"/>
      <c r="N15" s="39"/>
      <c r="O15" s="39"/>
    </row>
    <row r="16" spans="1:15" ht="72.75" customHeight="1">
      <c r="A16" s="17">
        <v>9</v>
      </c>
      <c r="B16" s="18" t="s">
        <v>68</v>
      </c>
      <c r="C16" s="19"/>
      <c r="D16" s="19" t="s">
        <v>60</v>
      </c>
      <c r="E16" s="39"/>
      <c r="F16" s="39"/>
      <c r="G16" s="39"/>
      <c r="H16" s="39"/>
      <c r="I16" s="39"/>
      <c r="J16" s="39"/>
      <c r="K16" s="39"/>
      <c r="L16" s="39"/>
      <c r="M16" s="39"/>
      <c r="N16" s="39"/>
      <c r="O16" s="39"/>
    </row>
    <row r="17" spans="1:4" ht="14.25" customHeight="1">
      <c r="A17" s="57" t="s">
        <v>69</v>
      </c>
      <c r="B17" s="45"/>
      <c r="C17" s="20">
        <f>COUNTA('MODELO LISTA DE COMPROBACIO RF4'!$C$8:$C$16)</f>
        <v>7</v>
      </c>
      <c r="D17" s="20">
        <f>COUNTA('MODELO LISTA DE COMPROBACIO RF4'!$D$8:$D$16)</f>
        <v>2</v>
      </c>
    </row>
    <row r="18" spans="1:4" ht="14.25" customHeight="1">
      <c r="A18" s="57" t="s">
        <v>70</v>
      </c>
      <c r="B18" s="45"/>
      <c r="C18" s="21">
        <f t="shared" ref="C18:D18" si="0">C17/9</f>
        <v>0.77777777777777779</v>
      </c>
      <c r="D18" s="21">
        <f t="shared" si="0"/>
        <v>0.22222222222222221</v>
      </c>
    </row>
    <row r="19" spans="1:4" ht="14.25" customHeight="1">
      <c r="A19" s="40"/>
      <c r="B19" s="40"/>
      <c r="C19" s="21"/>
      <c r="D19" s="20"/>
    </row>
    <row r="20" spans="1:4" ht="46.5" customHeight="1">
      <c r="A20" s="58" t="s">
        <v>71</v>
      </c>
      <c r="B20" s="59"/>
      <c r="C20" s="59"/>
      <c r="D20" s="59"/>
    </row>
    <row r="21" spans="1:4" ht="14.25" customHeight="1">
      <c r="A21" s="31" t="s">
        <v>55</v>
      </c>
      <c r="B21" s="32" t="s">
        <v>56</v>
      </c>
      <c r="C21" s="33" t="s">
        <v>57</v>
      </c>
      <c r="D21" s="34" t="s">
        <v>58</v>
      </c>
    </row>
    <row r="22" spans="1:4" ht="53.25" customHeight="1">
      <c r="A22" s="29">
        <v>1</v>
      </c>
      <c r="B22" s="25" t="s">
        <v>72</v>
      </c>
      <c r="C22" s="19" t="s">
        <v>60</v>
      </c>
      <c r="D22" s="30"/>
    </row>
    <row r="23" spans="1:4" ht="51.75" customHeight="1">
      <c r="A23" s="29">
        <v>2</v>
      </c>
      <c r="B23" s="25" t="s">
        <v>73</v>
      </c>
      <c r="C23" s="19" t="s">
        <v>60</v>
      </c>
      <c r="D23" s="30"/>
    </row>
    <row r="24" spans="1:4" ht="59.25" customHeight="1">
      <c r="A24" s="29">
        <v>3</v>
      </c>
      <c r="B24" s="25" t="s">
        <v>74</v>
      </c>
      <c r="C24" s="19" t="s">
        <v>60</v>
      </c>
      <c r="D24" s="30"/>
    </row>
    <row r="25" spans="1:4" ht="29.25" customHeight="1">
      <c r="A25" s="29">
        <v>4</v>
      </c>
      <c r="B25" s="25" t="s">
        <v>75</v>
      </c>
      <c r="C25" s="19" t="s">
        <v>60</v>
      </c>
      <c r="D25" s="30"/>
    </row>
    <row r="26" spans="1:4" ht="38.25" customHeight="1">
      <c r="A26" s="17">
        <v>5</v>
      </c>
      <c r="B26" s="18" t="s">
        <v>76</v>
      </c>
      <c r="C26" s="19" t="s">
        <v>60</v>
      </c>
      <c r="D26" s="22"/>
    </row>
    <row r="27" spans="1:4" ht="14.25" customHeight="1">
      <c r="A27" s="57" t="s">
        <v>69</v>
      </c>
      <c r="B27" s="45"/>
      <c r="C27" s="20">
        <f>COUNTA('MODELO LISTA DE COMPROBACIO RF4'!$C$22:$C$26)</f>
        <v>5</v>
      </c>
      <c r="D27" s="20">
        <f>COUNTA('MODELO LISTA DE COMPROBACIO RF4'!$D$22:$D$26)</f>
        <v>0</v>
      </c>
    </row>
    <row r="28" spans="1:4" ht="14.25" customHeight="1">
      <c r="A28" s="57" t="s">
        <v>70</v>
      </c>
      <c r="B28" s="45"/>
      <c r="C28" s="21">
        <f t="shared" ref="C28:D28" si="1">C27/5</f>
        <v>1</v>
      </c>
      <c r="D28" s="21">
        <f t="shared" si="1"/>
        <v>0</v>
      </c>
    </row>
    <row r="29" spans="1:4" ht="14.25" customHeight="1">
      <c r="A29" s="40"/>
      <c r="B29" s="40"/>
      <c r="C29" s="21"/>
      <c r="D29" s="20"/>
    </row>
    <row r="30" spans="1:4" ht="14.25" customHeight="1">
      <c r="A30" s="60" t="s">
        <v>77</v>
      </c>
      <c r="B30" s="45"/>
      <c r="C30" s="45"/>
      <c r="D30" s="45"/>
    </row>
    <row r="31" spans="1:4" ht="14.25" customHeight="1">
      <c r="A31" s="31" t="s">
        <v>55</v>
      </c>
      <c r="B31" s="32" t="s">
        <v>56</v>
      </c>
      <c r="C31" s="33" t="s">
        <v>57</v>
      </c>
      <c r="D31" s="34" t="s">
        <v>58</v>
      </c>
    </row>
    <row r="32" spans="1:4" ht="51" customHeight="1">
      <c r="A32" s="29">
        <v>1</v>
      </c>
      <c r="B32" s="25" t="s">
        <v>78</v>
      </c>
      <c r="C32" s="19" t="s">
        <v>60</v>
      </c>
      <c r="D32" s="19"/>
    </row>
    <row r="33" spans="1:4" ht="52.5" customHeight="1">
      <c r="A33" s="29">
        <v>2</v>
      </c>
      <c r="B33" s="25" t="s">
        <v>79</v>
      </c>
      <c r="C33" s="19" t="s">
        <v>60</v>
      </c>
      <c r="D33" s="19"/>
    </row>
    <row r="34" spans="1:4" ht="47.25" customHeight="1">
      <c r="A34" s="17">
        <v>3</v>
      </c>
      <c r="B34" s="18" t="s">
        <v>80</v>
      </c>
      <c r="C34" s="19" t="s">
        <v>60</v>
      </c>
      <c r="D34" s="19"/>
    </row>
    <row r="35" spans="1:4" ht="14.25" customHeight="1">
      <c r="A35" s="57" t="s">
        <v>69</v>
      </c>
      <c r="B35" s="45"/>
      <c r="C35" s="5">
        <f>COUNTA('MODELO LISTA DE COMPROBACIO RF4'!$C$32:$C$34)</f>
        <v>3</v>
      </c>
      <c r="D35" s="5">
        <f>COUNTA('MODELO LISTA DE COMPROBACIO RF4'!$D$32:$D$34)</f>
        <v>0</v>
      </c>
    </row>
    <row r="36" spans="1:4" ht="14.25" customHeight="1">
      <c r="A36" s="57" t="s">
        <v>70</v>
      </c>
      <c r="B36" s="45"/>
      <c r="C36" s="21">
        <f t="shared" ref="C36:D36" si="2">C35/3</f>
        <v>1</v>
      </c>
      <c r="D36" s="21">
        <f t="shared" si="2"/>
        <v>0</v>
      </c>
    </row>
    <row r="37" spans="1:4" ht="14.25" customHeight="1">
      <c r="A37" s="39"/>
      <c r="B37" s="39"/>
      <c r="C37" s="39"/>
      <c r="D37" s="39"/>
    </row>
    <row r="38" spans="1:4" ht="14.25" customHeight="1">
      <c r="A38" s="39"/>
      <c r="B38" s="39"/>
      <c r="C38" s="39"/>
      <c r="D38" s="39"/>
    </row>
    <row r="39" spans="1:4" ht="14.25" customHeight="1">
      <c r="A39" s="39"/>
      <c r="B39" s="39"/>
      <c r="C39" s="39"/>
      <c r="D39" s="39"/>
    </row>
    <row r="40" spans="1:4" ht="14.25" customHeight="1">
      <c r="A40" s="62" t="s">
        <v>81</v>
      </c>
      <c r="B40" s="45"/>
      <c r="C40" s="45"/>
      <c r="D40" s="39"/>
    </row>
    <row r="41" spans="1:4" ht="30" customHeight="1">
      <c r="A41" s="39"/>
      <c r="B41" s="10" t="s">
        <v>82</v>
      </c>
      <c r="C41" s="23">
        <v>89</v>
      </c>
      <c r="D41" s="39"/>
    </row>
    <row r="42" spans="1:4" ht="30" customHeight="1">
      <c r="A42" s="39"/>
      <c r="B42" s="10" t="s">
        <v>71</v>
      </c>
      <c r="C42" s="23">
        <v>100</v>
      </c>
      <c r="D42" s="39"/>
    </row>
    <row r="43" spans="1:4" ht="30" customHeight="1">
      <c r="A43" s="39"/>
      <c r="B43" s="10" t="s">
        <v>77</v>
      </c>
      <c r="C43" s="23">
        <v>100</v>
      </c>
      <c r="D43" s="39"/>
    </row>
    <row r="44" spans="1:4" ht="14.25" customHeight="1">
      <c r="A44" s="39"/>
      <c r="B44" s="39"/>
      <c r="C44" s="20"/>
      <c r="D44" s="39"/>
    </row>
    <row r="45" spans="1:4" ht="14.25" customHeight="1">
      <c r="A45" s="39"/>
      <c r="B45" s="39"/>
      <c r="C45" s="20"/>
      <c r="D45" s="39"/>
    </row>
    <row r="46" spans="1:4" ht="14.25" customHeight="1">
      <c r="A46" s="39"/>
      <c r="B46" s="39"/>
      <c r="C46" s="39"/>
      <c r="D46" s="39"/>
    </row>
    <row r="47" spans="1:4" ht="14.25" customHeight="1">
      <c r="A47" s="39"/>
      <c r="B47" s="39"/>
      <c r="C47" s="39"/>
      <c r="D47" s="39"/>
    </row>
    <row r="48" spans="1:4" ht="14.25" customHeight="1">
      <c r="A48" s="39"/>
      <c r="B48" s="39"/>
      <c r="C48" s="39"/>
      <c r="D48" s="3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A30:D30"/>
    <mergeCell ref="A35:B35"/>
    <mergeCell ref="A27:B27"/>
    <mergeCell ref="A28:B28"/>
    <mergeCell ref="C1:D1"/>
    <mergeCell ref="C2:D2"/>
    <mergeCell ref="A18:B18"/>
    <mergeCell ref="A20:D20"/>
    <mergeCell ref="A6:D6"/>
    <mergeCell ref="A17:B17"/>
    <mergeCell ref="C3:D3"/>
    <mergeCell ref="C4:D4"/>
  </mergeCells>
  <conditionalFormatting sqref="A32:D34">
    <cfRule type="containsText" dxfId="31" priority="17" operator="containsText" text="X">
      <formula>NOT(ISERROR(SEARCH(("X"),(A32))))</formula>
    </cfRule>
  </conditionalFormatting>
  <conditionalFormatting sqref="C22:C26 C32:D34 C8:D8 C10:D16 D9">
    <cfRule type="containsText" dxfId="30" priority="19" operator="containsText" text="X">
      <formula>NOT(ISERROR(SEARCH(("X"),(C8))))</formula>
    </cfRule>
    <cfRule type="containsText" dxfId="29" priority="20" operator="containsText" text="X">
      <formula>NOT(ISERROR(SEARCH(("X"),(C8))))</formula>
    </cfRule>
    <cfRule type="containsText" dxfId="28" priority="21" operator="containsText" text="X">
      <formula>NOT(ISERROR(SEARCH(("X"),(C8))))</formula>
    </cfRule>
  </conditionalFormatting>
  <conditionalFormatting sqref="C22:D26">
    <cfRule type="containsText" dxfId="27" priority="22" operator="containsText" text="X">
      <formula>NOT(ISERROR(SEARCH(("X"),(C22))))</formula>
    </cfRule>
    <cfRule type="containsText" dxfId="26" priority="23" operator="containsText" text="X">
      <formula>NOT(ISERROR(SEARCH(("X"),(C22))))</formula>
    </cfRule>
  </conditionalFormatting>
  <conditionalFormatting sqref="C32:D34 C22:C26 C8:D8 C10:D16 D9">
    <cfRule type="containsText" dxfId="25" priority="18" operator="containsText" text="X">
      <formula>NOT(ISERROR(SEARCH(("X"),(C8))))</formula>
    </cfRule>
  </conditionalFormatting>
  <conditionalFormatting sqref="C32:D34">
    <cfRule type="containsText" dxfId="24" priority="24"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2AD4-3993-4561-9F8D-8ECC286A2AFF}">
  <dimension ref="A1:O1000"/>
  <sheetViews>
    <sheetView topLeftCell="A14" workbookViewId="0">
      <selection activeCell="C44" sqref="C44"/>
    </sheetView>
  </sheetViews>
  <sheetFormatPr defaultColWidth="14.42578125" defaultRowHeight="15" customHeight="1"/>
  <cols>
    <col min="1" max="1" width="10.7109375" style="27" customWidth="1"/>
    <col min="2" max="2" width="34.5703125" style="27" customWidth="1"/>
    <col min="3" max="3" width="16.140625" style="27" customWidth="1"/>
    <col min="4" max="15" width="10.7109375" style="27" customWidth="1"/>
    <col min="16" max="26" width="9.140625" style="27"/>
    <col min="27" max="16384" width="14.42578125" style="27"/>
  </cols>
  <sheetData>
    <row r="1" spans="1:15" ht="51" customHeight="1">
      <c r="A1" s="10"/>
      <c r="B1" s="11" t="s">
        <v>1</v>
      </c>
      <c r="C1" s="55" t="s">
        <v>2</v>
      </c>
      <c r="D1" s="45"/>
      <c r="E1" s="10"/>
      <c r="F1" s="10"/>
      <c r="G1" s="10"/>
      <c r="H1" s="10"/>
      <c r="I1" s="10"/>
      <c r="J1" s="10"/>
      <c r="K1" s="10"/>
      <c r="L1" s="10"/>
      <c r="M1" s="10"/>
      <c r="N1" s="10"/>
      <c r="O1" s="10"/>
    </row>
    <row r="2" spans="1:15" ht="14.25" customHeight="1">
      <c r="A2" s="39"/>
      <c r="B2" s="12" t="s">
        <v>49</v>
      </c>
      <c r="C2" s="56">
        <v>46126</v>
      </c>
      <c r="D2" s="45"/>
      <c r="E2" s="39"/>
      <c r="F2" s="39"/>
      <c r="G2" s="39"/>
      <c r="H2" s="39"/>
      <c r="I2" s="39"/>
      <c r="J2" s="39"/>
      <c r="K2" s="39"/>
      <c r="L2" s="39"/>
      <c r="M2" s="39"/>
      <c r="N2" s="39"/>
      <c r="O2" s="39"/>
    </row>
    <row r="3" spans="1:15" ht="69.75" customHeight="1">
      <c r="A3" s="39"/>
      <c r="B3" s="12" t="s">
        <v>50</v>
      </c>
      <c r="C3" s="61" t="s">
        <v>83</v>
      </c>
      <c r="D3" s="45"/>
      <c r="E3" s="39"/>
      <c r="F3" s="39"/>
      <c r="G3" s="39"/>
      <c r="H3" s="39"/>
      <c r="I3" s="39"/>
      <c r="J3" s="39"/>
      <c r="K3" s="39"/>
      <c r="L3" s="39"/>
      <c r="M3" s="39"/>
      <c r="N3" s="39"/>
      <c r="O3" s="39"/>
    </row>
    <row r="4" spans="1:15" ht="60.75" customHeight="1">
      <c r="A4" s="39"/>
      <c r="B4" s="12" t="s">
        <v>52</v>
      </c>
      <c r="C4" s="61" t="s">
        <v>9</v>
      </c>
      <c r="D4" s="45"/>
      <c r="E4" s="39"/>
      <c r="F4" s="39"/>
      <c r="G4" s="39"/>
      <c r="H4" s="39"/>
      <c r="I4" s="39"/>
      <c r="J4" s="39"/>
      <c r="K4" s="39"/>
      <c r="L4" s="39"/>
      <c r="M4" s="39"/>
      <c r="N4" s="39"/>
      <c r="O4" s="39"/>
    </row>
    <row r="5" spans="1:15" ht="14.25" customHeight="1">
      <c r="A5" s="39"/>
      <c r="B5" s="39"/>
      <c r="C5" s="39"/>
      <c r="D5" s="39"/>
      <c r="E5" s="39"/>
      <c r="F5" s="39"/>
      <c r="G5" s="39"/>
      <c r="H5" s="39"/>
      <c r="I5" s="39"/>
      <c r="J5" s="39"/>
      <c r="K5" s="39"/>
      <c r="L5" s="39"/>
      <c r="M5" s="39"/>
      <c r="N5" s="39"/>
      <c r="O5" s="39"/>
    </row>
    <row r="6" spans="1:15" ht="14.25" customHeight="1">
      <c r="A6" s="60" t="s">
        <v>54</v>
      </c>
      <c r="B6" s="45"/>
      <c r="C6" s="45"/>
      <c r="D6" s="45"/>
      <c r="E6" s="39"/>
      <c r="F6" s="39"/>
      <c r="G6" s="39"/>
      <c r="H6" s="39"/>
      <c r="I6" s="39"/>
      <c r="J6" s="39"/>
      <c r="K6" s="39"/>
      <c r="L6" s="39"/>
      <c r="M6" s="39"/>
      <c r="N6" s="39"/>
      <c r="O6" s="39"/>
    </row>
    <row r="7" spans="1:15" ht="15" customHeight="1">
      <c r="A7" s="13" t="s">
        <v>55</v>
      </c>
      <c r="B7" s="14" t="s">
        <v>56</v>
      </c>
      <c r="C7" s="14" t="s">
        <v>57</v>
      </c>
      <c r="D7" s="15" t="s">
        <v>58</v>
      </c>
      <c r="E7" s="39"/>
      <c r="F7" s="39"/>
      <c r="G7" s="39"/>
      <c r="H7" s="39"/>
      <c r="I7" s="39"/>
      <c r="J7" s="39"/>
      <c r="K7" s="39"/>
      <c r="L7" s="39"/>
      <c r="M7" s="39"/>
      <c r="N7" s="39"/>
      <c r="O7" s="39"/>
    </row>
    <row r="8" spans="1:15" ht="33.75" customHeight="1">
      <c r="A8" s="29">
        <v>1</v>
      </c>
      <c r="B8" s="25" t="s">
        <v>59</v>
      </c>
      <c r="C8" s="16" t="s">
        <v>60</v>
      </c>
      <c r="D8" s="30"/>
      <c r="E8" s="39"/>
      <c r="F8" s="39"/>
      <c r="G8" s="39"/>
      <c r="H8" s="39"/>
      <c r="I8" s="39"/>
      <c r="J8" s="39"/>
      <c r="K8" s="39"/>
      <c r="L8" s="39"/>
      <c r="M8" s="39"/>
      <c r="N8" s="39"/>
      <c r="O8" s="39"/>
    </row>
    <row r="9" spans="1:15" ht="57" customHeight="1">
      <c r="A9" s="29">
        <v>2</v>
      </c>
      <c r="B9" s="25" t="s">
        <v>61</v>
      </c>
      <c r="C9" s="16"/>
      <c r="D9" s="30" t="s">
        <v>60</v>
      </c>
      <c r="E9" s="39"/>
      <c r="F9" s="39"/>
      <c r="G9" s="39"/>
      <c r="H9" s="39"/>
      <c r="I9" s="39"/>
      <c r="J9" s="39"/>
      <c r="K9" s="39"/>
      <c r="L9" s="39"/>
      <c r="M9" s="39"/>
      <c r="N9" s="39"/>
      <c r="O9" s="39"/>
    </row>
    <row r="10" spans="1:15" ht="67.5" customHeight="1">
      <c r="A10" s="29">
        <v>3</v>
      </c>
      <c r="B10" s="25" t="s">
        <v>62</v>
      </c>
      <c r="C10" s="16" t="s">
        <v>60</v>
      </c>
      <c r="D10" s="30"/>
      <c r="E10" s="39"/>
      <c r="F10" s="39"/>
      <c r="G10" s="39"/>
      <c r="H10" s="39"/>
      <c r="I10" s="39"/>
      <c r="J10" s="39"/>
      <c r="K10" s="39"/>
      <c r="L10" s="39"/>
      <c r="M10" s="39"/>
      <c r="N10" s="39"/>
      <c r="O10" s="39"/>
    </row>
    <row r="11" spans="1:15" ht="52.5" customHeight="1">
      <c r="A11" s="29">
        <v>4</v>
      </c>
      <c r="B11" s="25" t="s">
        <v>63</v>
      </c>
      <c r="C11" s="16" t="s">
        <v>60</v>
      </c>
      <c r="D11" s="30"/>
      <c r="E11" s="39"/>
      <c r="F11" s="39"/>
      <c r="G11" s="39"/>
      <c r="H11" s="39"/>
      <c r="I11" s="39"/>
      <c r="J11" s="39"/>
      <c r="K11" s="39"/>
      <c r="L11" s="39"/>
      <c r="M11" s="39"/>
      <c r="N11" s="39"/>
      <c r="O11" s="39"/>
    </row>
    <row r="12" spans="1:15" ht="51" customHeight="1">
      <c r="A12" s="29">
        <v>5</v>
      </c>
      <c r="B12" s="25" t="s">
        <v>64</v>
      </c>
      <c r="C12" s="16" t="s">
        <v>60</v>
      </c>
      <c r="D12" s="30"/>
      <c r="E12" s="39"/>
      <c r="F12" s="39"/>
      <c r="G12" s="39"/>
      <c r="H12" s="39"/>
      <c r="I12" s="39"/>
      <c r="J12" s="39"/>
      <c r="K12" s="39"/>
      <c r="L12" s="39"/>
      <c r="M12" s="39"/>
      <c r="N12" s="39"/>
      <c r="O12" s="39"/>
    </row>
    <row r="13" spans="1:15" ht="63" customHeight="1">
      <c r="A13" s="29">
        <v>6</v>
      </c>
      <c r="B13" s="25" t="s">
        <v>65</v>
      </c>
      <c r="C13" s="16" t="s">
        <v>60</v>
      </c>
      <c r="D13" s="30"/>
      <c r="E13" s="39"/>
      <c r="F13" s="39"/>
      <c r="G13" s="39"/>
      <c r="H13" s="39"/>
      <c r="I13" s="39"/>
      <c r="J13" s="39"/>
      <c r="K13" s="39"/>
      <c r="L13" s="39"/>
      <c r="M13" s="39"/>
      <c r="N13" s="39"/>
      <c r="O13" s="39"/>
    </row>
    <row r="14" spans="1:15" ht="48" customHeight="1">
      <c r="A14" s="29">
        <v>7</v>
      </c>
      <c r="B14" s="25" t="s">
        <v>66</v>
      </c>
      <c r="C14" s="16" t="s">
        <v>60</v>
      </c>
      <c r="D14" s="30"/>
      <c r="E14" s="39"/>
      <c r="F14" s="39"/>
      <c r="G14" s="39"/>
      <c r="H14" s="39"/>
      <c r="I14" s="39"/>
      <c r="J14" s="39"/>
      <c r="K14" s="39"/>
      <c r="L14" s="39"/>
      <c r="M14" s="39"/>
      <c r="N14" s="39"/>
      <c r="O14" s="39"/>
    </row>
    <row r="15" spans="1:15" ht="46.5" customHeight="1">
      <c r="A15" s="29">
        <v>8</v>
      </c>
      <c r="B15" s="25" t="s">
        <v>67</v>
      </c>
      <c r="C15" s="16" t="s">
        <v>60</v>
      </c>
      <c r="D15" s="30"/>
      <c r="E15" s="39"/>
      <c r="F15" s="39"/>
      <c r="G15" s="39"/>
      <c r="H15" s="39"/>
      <c r="I15" s="39"/>
      <c r="J15" s="39"/>
      <c r="K15" s="39"/>
      <c r="L15" s="39"/>
      <c r="M15" s="39"/>
      <c r="N15" s="39"/>
      <c r="O15" s="39"/>
    </row>
    <row r="16" spans="1:15" ht="72.75" customHeight="1">
      <c r="A16" s="17">
        <v>9</v>
      </c>
      <c r="B16" s="18" t="s">
        <v>68</v>
      </c>
      <c r="C16" s="19"/>
      <c r="D16" s="19" t="s">
        <v>60</v>
      </c>
      <c r="E16" s="39"/>
      <c r="F16" s="39"/>
      <c r="G16" s="39"/>
      <c r="H16" s="39"/>
      <c r="I16" s="39"/>
      <c r="J16" s="39"/>
      <c r="K16" s="39"/>
      <c r="L16" s="39"/>
      <c r="M16" s="39"/>
      <c r="N16" s="39"/>
      <c r="O16" s="39"/>
    </row>
    <row r="17" spans="1:4" ht="14.25" customHeight="1">
      <c r="A17" s="57" t="s">
        <v>69</v>
      </c>
      <c r="B17" s="45"/>
      <c r="C17" s="20">
        <f>COUNTA('MODELO LISTA DE COMPROBACIO RF5'!$C$8:$C$16)</f>
        <v>7</v>
      </c>
      <c r="D17" s="20">
        <f>COUNTA('MODELO LISTA DE COMPROBACIO RF5'!$D$8:$D$16)</f>
        <v>2</v>
      </c>
    </row>
    <row r="18" spans="1:4" ht="14.25" customHeight="1">
      <c r="A18" s="57" t="s">
        <v>70</v>
      </c>
      <c r="B18" s="45"/>
      <c r="C18" s="21">
        <f t="shared" ref="C18:D18" si="0">C17/9</f>
        <v>0.77777777777777779</v>
      </c>
      <c r="D18" s="21">
        <f t="shared" si="0"/>
        <v>0.22222222222222221</v>
      </c>
    </row>
    <row r="19" spans="1:4" ht="14.25" customHeight="1">
      <c r="A19" s="40"/>
      <c r="B19" s="40"/>
      <c r="C19" s="21"/>
      <c r="D19" s="20"/>
    </row>
    <row r="20" spans="1:4" ht="46.5" customHeight="1">
      <c r="A20" s="58" t="s">
        <v>71</v>
      </c>
      <c r="B20" s="59"/>
      <c r="C20" s="59"/>
      <c r="D20" s="59"/>
    </row>
    <row r="21" spans="1:4" ht="14.25" customHeight="1">
      <c r="A21" s="31" t="s">
        <v>55</v>
      </c>
      <c r="B21" s="32" t="s">
        <v>56</v>
      </c>
      <c r="C21" s="33" t="s">
        <v>57</v>
      </c>
      <c r="D21" s="34" t="s">
        <v>58</v>
      </c>
    </row>
    <row r="22" spans="1:4" ht="53.25" customHeight="1">
      <c r="A22" s="29">
        <v>1</v>
      </c>
      <c r="B22" s="25" t="s">
        <v>72</v>
      </c>
      <c r="C22" s="19" t="s">
        <v>60</v>
      </c>
      <c r="D22" s="30"/>
    </row>
    <row r="23" spans="1:4" ht="51.75" customHeight="1">
      <c r="A23" s="29">
        <v>2</v>
      </c>
      <c r="B23" s="25" t="s">
        <v>73</v>
      </c>
      <c r="C23" s="19" t="s">
        <v>60</v>
      </c>
      <c r="D23" s="30"/>
    </row>
    <row r="24" spans="1:4" ht="59.25" customHeight="1">
      <c r="A24" s="29">
        <v>3</v>
      </c>
      <c r="B24" s="25" t="s">
        <v>74</v>
      </c>
      <c r="C24" s="19" t="s">
        <v>60</v>
      </c>
      <c r="D24" s="30"/>
    </row>
    <row r="25" spans="1:4" ht="42" customHeight="1">
      <c r="A25" s="29">
        <v>4</v>
      </c>
      <c r="B25" s="25" t="s">
        <v>75</v>
      </c>
      <c r="C25" s="19"/>
      <c r="D25" s="19" t="s">
        <v>84</v>
      </c>
    </row>
    <row r="26" spans="1:4" ht="38.25" customHeight="1">
      <c r="A26" s="17">
        <v>5</v>
      </c>
      <c r="B26" s="18" t="s">
        <v>76</v>
      </c>
      <c r="C26" s="19" t="s">
        <v>60</v>
      </c>
      <c r="D26" s="22"/>
    </row>
    <row r="27" spans="1:4" ht="14.25" customHeight="1">
      <c r="A27" s="57" t="s">
        <v>69</v>
      </c>
      <c r="B27" s="45"/>
      <c r="C27" s="20">
        <f>COUNTA('MODELO LISTA DE COMPROBACIO RF5'!$C$22:$C$26)</f>
        <v>4</v>
      </c>
      <c r="D27" s="20">
        <f>COUNTA('MODELO LISTA DE COMPROBACIO RF5'!$D$22:$D$26)</f>
        <v>1</v>
      </c>
    </row>
    <row r="28" spans="1:4" ht="14.25" customHeight="1">
      <c r="A28" s="57" t="s">
        <v>70</v>
      </c>
      <c r="B28" s="45"/>
      <c r="C28" s="21">
        <f t="shared" ref="C28:D28" si="1">C27/5</f>
        <v>0.8</v>
      </c>
      <c r="D28" s="21">
        <f t="shared" si="1"/>
        <v>0.2</v>
      </c>
    </row>
    <row r="29" spans="1:4" ht="14.25" customHeight="1">
      <c r="A29" s="40"/>
      <c r="B29" s="40"/>
      <c r="C29" s="21"/>
      <c r="D29" s="20"/>
    </row>
    <row r="30" spans="1:4" ht="14.25" customHeight="1">
      <c r="A30" s="60" t="s">
        <v>77</v>
      </c>
      <c r="B30" s="45"/>
      <c r="C30" s="45"/>
      <c r="D30" s="45"/>
    </row>
    <row r="31" spans="1:4" ht="14.25" customHeight="1">
      <c r="A31" s="31" t="s">
        <v>55</v>
      </c>
      <c r="B31" s="32" t="s">
        <v>56</v>
      </c>
      <c r="C31" s="33" t="s">
        <v>57</v>
      </c>
      <c r="D31" s="34" t="s">
        <v>58</v>
      </c>
    </row>
    <row r="32" spans="1:4" ht="51" customHeight="1">
      <c r="A32" s="29">
        <v>1</v>
      </c>
      <c r="B32" s="25" t="s">
        <v>78</v>
      </c>
      <c r="C32" s="19" t="s">
        <v>60</v>
      </c>
      <c r="D32" s="19"/>
    </row>
    <row r="33" spans="1:4" ht="52.5" customHeight="1">
      <c r="A33" s="29">
        <v>2</v>
      </c>
      <c r="B33" s="25" t="s">
        <v>79</v>
      </c>
      <c r="C33" s="19"/>
      <c r="D33" s="19" t="s">
        <v>84</v>
      </c>
    </row>
    <row r="34" spans="1:4" ht="47.25" customHeight="1">
      <c r="A34" s="17">
        <v>3</v>
      </c>
      <c r="B34" s="18" t="s">
        <v>80</v>
      </c>
      <c r="C34" s="19"/>
      <c r="D34" s="19" t="s">
        <v>84</v>
      </c>
    </row>
    <row r="35" spans="1:4" ht="14.25" customHeight="1">
      <c r="A35" s="57" t="s">
        <v>69</v>
      </c>
      <c r="B35" s="45"/>
      <c r="C35" s="5">
        <f>COUNTA('MODELO LISTA DE COMPROBACIO RF5'!$C$32:$C$34)</f>
        <v>1</v>
      </c>
      <c r="D35" s="5">
        <f>COUNTA('MODELO LISTA DE COMPROBACIO RF5'!$D$32:$D$34)</f>
        <v>2</v>
      </c>
    </row>
    <row r="36" spans="1:4" ht="14.25" customHeight="1">
      <c r="A36" s="57" t="s">
        <v>70</v>
      </c>
      <c r="B36" s="45"/>
      <c r="C36" s="21">
        <f t="shared" ref="C36:D36" si="2">C35/3</f>
        <v>0.33333333333333331</v>
      </c>
      <c r="D36" s="21">
        <f t="shared" si="2"/>
        <v>0.66666666666666663</v>
      </c>
    </row>
    <row r="37" spans="1:4" ht="14.25" customHeight="1">
      <c r="A37" s="39"/>
      <c r="B37" s="39"/>
      <c r="C37" s="39"/>
      <c r="D37" s="39"/>
    </row>
    <row r="38" spans="1:4" ht="14.25" customHeight="1">
      <c r="A38" s="39"/>
      <c r="B38" s="39"/>
      <c r="C38" s="39"/>
      <c r="D38" s="39"/>
    </row>
    <row r="39" spans="1:4" ht="14.25" customHeight="1">
      <c r="A39" s="39"/>
      <c r="B39" s="39"/>
      <c r="C39" s="39"/>
      <c r="D39" s="39"/>
    </row>
    <row r="40" spans="1:4" ht="14.25" customHeight="1">
      <c r="A40" s="62" t="s">
        <v>81</v>
      </c>
      <c r="B40" s="45"/>
      <c r="C40" s="45"/>
      <c r="D40" s="39"/>
    </row>
    <row r="41" spans="1:4" ht="30" customHeight="1">
      <c r="A41" s="39"/>
      <c r="B41" s="10" t="s">
        <v>82</v>
      </c>
      <c r="C41" s="23">
        <v>78</v>
      </c>
      <c r="D41" s="39"/>
    </row>
    <row r="42" spans="1:4" ht="30" customHeight="1">
      <c r="A42" s="39"/>
      <c r="B42" s="10" t="s">
        <v>71</v>
      </c>
      <c r="C42" s="23">
        <v>80</v>
      </c>
      <c r="D42" s="39"/>
    </row>
    <row r="43" spans="1:4" ht="30" customHeight="1">
      <c r="A43" s="39"/>
      <c r="B43" s="10" t="s">
        <v>77</v>
      </c>
      <c r="C43" s="23">
        <v>33</v>
      </c>
      <c r="D43" s="39"/>
    </row>
    <row r="44" spans="1:4" ht="14.25" customHeight="1">
      <c r="A44" s="39"/>
      <c r="B44" s="39"/>
      <c r="C44" s="20"/>
      <c r="D44" s="39"/>
    </row>
    <row r="45" spans="1:4" ht="14.25" customHeight="1">
      <c r="A45" s="39"/>
      <c r="B45" s="39"/>
      <c r="C45" s="20"/>
      <c r="D45" s="39"/>
    </row>
    <row r="46" spans="1:4" ht="14.25" customHeight="1">
      <c r="A46" s="39"/>
      <c r="B46" s="39"/>
      <c r="C46" s="39"/>
      <c r="D46" s="39"/>
    </row>
    <row r="47" spans="1:4" ht="14.25" customHeight="1">
      <c r="A47" s="39"/>
      <c r="B47" s="39"/>
      <c r="C47" s="39"/>
      <c r="D47" s="39"/>
    </row>
    <row r="48" spans="1:4" ht="14.25" customHeight="1">
      <c r="A48" s="39"/>
      <c r="B48" s="39"/>
      <c r="C48" s="39"/>
      <c r="D48" s="3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23" priority="5" operator="containsText" text="X">
      <formula>NOT(ISERROR(SEARCH(("X"),(A32))))</formula>
    </cfRule>
  </conditionalFormatting>
  <conditionalFormatting sqref="C22:C26 C32:D34 C8:D16">
    <cfRule type="containsText" dxfId="22" priority="7" operator="containsText" text="X">
      <formula>NOT(ISERROR(SEARCH(("X"),(C8))))</formula>
    </cfRule>
    <cfRule type="containsText" dxfId="21" priority="8" operator="containsText" text="X">
      <formula>NOT(ISERROR(SEARCH(("X"),(C8))))</formula>
    </cfRule>
    <cfRule type="containsText" dxfId="20" priority="9" operator="containsText" text="X">
      <formula>NOT(ISERROR(SEARCH(("X"),(C8))))</formula>
    </cfRule>
  </conditionalFormatting>
  <conditionalFormatting sqref="C22:D26">
    <cfRule type="containsText" dxfId="19" priority="10" operator="containsText" text="X">
      <formula>NOT(ISERROR(SEARCH(("X"),(C22))))</formula>
    </cfRule>
    <cfRule type="containsText" dxfId="18" priority="11" operator="containsText" text="X">
      <formula>NOT(ISERROR(SEARCH(("X"),(C22))))</formula>
    </cfRule>
  </conditionalFormatting>
  <conditionalFormatting sqref="C32:D34 C22:C26 C8:D16">
    <cfRule type="containsText" dxfId="17" priority="6" operator="containsText" text="X">
      <formula>NOT(ISERROR(SEARCH(("X"),(C8))))</formula>
    </cfRule>
  </conditionalFormatting>
  <conditionalFormatting sqref="C32:D34">
    <cfRule type="containsText" dxfId="16" priority="12" operator="containsText" text="X">
      <formula>NOT(ISERROR(SEARCH(("X"),(C32))))</formula>
    </cfRule>
  </conditionalFormatting>
  <conditionalFormatting sqref="D25">
    <cfRule type="containsText" dxfId="15" priority="2" operator="containsText" text="X">
      <formula>NOT(ISERROR(SEARCH(("X"),(D25))))</formula>
    </cfRule>
    <cfRule type="containsText" dxfId="14" priority="3" operator="containsText" text="X">
      <formula>NOT(ISERROR(SEARCH(("X"),(D25))))</formula>
    </cfRule>
    <cfRule type="containsText" dxfId="13" priority="4" operator="containsText" text="X">
      <formula>NOT(ISERROR(SEARCH(("X"),(D25))))</formula>
    </cfRule>
  </conditionalFormatting>
  <conditionalFormatting sqref="D25">
    <cfRule type="containsText" dxfId="12" priority="1" operator="containsText" text="X">
      <formula>NOT(ISERROR(SEARCH(("X"),(D25))))</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A736F-36F1-4C5B-BF9E-1CC10F315305}">
  <dimension ref="A1:O1000"/>
  <sheetViews>
    <sheetView topLeftCell="A39" workbookViewId="0">
      <selection activeCell="F47" sqref="F47"/>
    </sheetView>
  </sheetViews>
  <sheetFormatPr defaultColWidth="14.42578125" defaultRowHeight="15" customHeight="1"/>
  <cols>
    <col min="1" max="1" width="10.7109375" style="27" customWidth="1"/>
    <col min="2" max="2" width="34.5703125" style="27" customWidth="1"/>
    <col min="3" max="3" width="16.140625" style="27" customWidth="1"/>
    <col min="4" max="15" width="10.7109375" style="27" customWidth="1"/>
    <col min="16" max="26" width="9.140625" style="27"/>
    <col min="27" max="16384" width="14.42578125" style="27"/>
  </cols>
  <sheetData>
    <row r="1" spans="1:15" ht="74.25" customHeight="1">
      <c r="A1" s="10"/>
      <c r="B1" s="11" t="s">
        <v>1</v>
      </c>
      <c r="C1" s="55" t="s">
        <v>2</v>
      </c>
      <c r="D1" s="45"/>
      <c r="E1" s="10"/>
      <c r="F1" s="10"/>
      <c r="G1" s="10"/>
      <c r="H1" s="10"/>
      <c r="I1" s="10"/>
      <c r="J1" s="10"/>
      <c r="K1" s="10"/>
      <c r="L1" s="10"/>
      <c r="M1" s="10"/>
      <c r="N1" s="10"/>
      <c r="O1" s="10"/>
    </row>
    <row r="2" spans="1:15" ht="14.25" customHeight="1">
      <c r="A2" s="39"/>
      <c r="B2" s="12" t="s">
        <v>49</v>
      </c>
      <c r="C2" s="56">
        <v>46126</v>
      </c>
      <c r="D2" s="45"/>
      <c r="E2" s="39"/>
      <c r="F2" s="39"/>
      <c r="G2" s="39"/>
      <c r="H2" s="39"/>
      <c r="I2" s="39"/>
      <c r="J2" s="39"/>
      <c r="K2" s="39"/>
      <c r="L2" s="39"/>
      <c r="M2" s="39"/>
      <c r="N2" s="39"/>
      <c r="O2" s="39"/>
    </row>
    <row r="3" spans="1:15" ht="42" customHeight="1">
      <c r="A3" s="39"/>
      <c r="B3" s="12" t="s">
        <v>50</v>
      </c>
      <c r="C3" s="61" t="s">
        <v>85</v>
      </c>
      <c r="D3" s="45"/>
      <c r="E3" s="39"/>
      <c r="F3" s="39"/>
      <c r="G3" s="39"/>
      <c r="H3" s="39"/>
      <c r="I3" s="39"/>
      <c r="J3" s="39"/>
      <c r="K3" s="39"/>
      <c r="L3" s="39"/>
      <c r="M3" s="39"/>
      <c r="N3" s="39"/>
      <c r="O3" s="39"/>
    </row>
    <row r="4" spans="1:15" ht="34.5" customHeight="1">
      <c r="A4" s="39"/>
      <c r="B4" s="12" t="s">
        <v>52</v>
      </c>
      <c r="C4" s="61" t="s">
        <v>86</v>
      </c>
      <c r="D4" s="45"/>
      <c r="E4" s="39"/>
      <c r="F4" s="39"/>
      <c r="G4" s="39"/>
      <c r="H4" s="39"/>
      <c r="I4" s="39"/>
      <c r="J4" s="39"/>
      <c r="K4" s="39"/>
      <c r="L4" s="39"/>
      <c r="M4" s="39"/>
      <c r="N4" s="39"/>
      <c r="O4" s="39"/>
    </row>
    <row r="5" spans="1:15" ht="14.25" customHeight="1">
      <c r="A5" s="39"/>
      <c r="B5" s="39"/>
      <c r="C5" s="39"/>
      <c r="D5" s="39"/>
      <c r="E5" s="39"/>
      <c r="F5" s="39"/>
      <c r="G5" s="39"/>
      <c r="H5" s="39"/>
      <c r="I5" s="39"/>
      <c r="J5" s="39"/>
      <c r="K5" s="39"/>
      <c r="L5" s="39"/>
      <c r="M5" s="39"/>
      <c r="N5" s="39"/>
      <c r="O5" s="39"/>
    </row>
    <row r="6" spans="1:15" ht="14.25" customHeight="1">
      <c r="A6" s="60" t="s">
        <v>54</v>
      </c>
      <c r="B6" s="45"/>
      <c r="C6" s="45"/>
      <c r="D6" s="45"/>
      <c r="E6" s="39"/>
      <c r="F6" s="39"/>
      <c r="G6" s="39"/>
      <c r="H6" s="39"/>
      <c r="I6" s="39"/>
      <c r="J6" s="39"/>
      <c r="K6" s="39"/>
      <c r="L6" s="39"/>
      <c r="M6" s="39"/>
      <c r="N6" s="39"/>
      <c r="O6" s="39"/>
    </row>
    <row r="7" spans="1:15" ht="15" customHeight="1">
      <c r="A7" s="13" t="s">
        <v>55</v>
      </c>
      <c r="B7" s="14" t="s">
        <v>56</v>
      </c>
      <c r="C7" s="14" t="s">
        <v>57</v>
      </c>
      <c r="D7" s="15" t="s">
        <v>58</v>
      </c>
      <c r="E7" s="39"/>
      <c r="F7" s="39"/>
      <c r="G7" s="39"/>
      <c r="H7" s="39"/>
      <c r="I7" s="39"/>
      <c r="J7" s="39"/>
      <c r="K7" s="39"/>
      <c r="L7" s="39"/>
      <c r="M7" s="39"/>
      <c r="N7" s="39"/>
      <c r="O7" s="39"/>
    </row>
    <row r="8" spans="1:15" ht="33.75" customHeight="1">
      <c r="A8" s="29">
        <v>1</v>
      </c>
      <c r="B8" s="25" t="s">
        <v>59</v>
      </c>
      <c r="C8" s="30"/>
      <c r="D8" s="16" t="s">
        <v>60</v>
      </c>
      <c r="E8" s="39"/>
      <c r="F8" s="39"/>
      <c r="G8" s="39"/>
      <c r="H8" s="39"/>
      <c r="I8" s="39"/>
      <c r="J8" s="39"/>
      <c r="K8" s="39"/>
      <c r="L8" s="39"/>
      <c r="M8" s="39"/>
      <c r="N8" s="39"/>
      <c r="O8" s="39"/>
    </row>
    <row r="9" spans="1:15" ht="57" customHeight="1">
      <c r="A9" s="29">
        <v>2</v>
      </c>
      <c r="B9" s="25" t="s">
        <v>61</v>
      </c>
      <c r="C9" s="30"/>
      <c r="D9" s="16" t="s">
        <v>60</v>
      </c>
      <c r="E9" s="39"/>
      <c r="F9" s="39"/>
      <c r="G9" s="39"/>
      <c r="H9" s="39"/>
      <c r="I9" s="39"/>
      <c r="J9" s="39"/>
      <c r="K9" s="39"/>
      <c r="L9" s="39"/>
      <c r="M9" s="39"/>
      <c r="N9" s="39"/>
      <c r="O9" s="39"/>
    </row>
    <row r="10" spans="1:15" ht="67.5" customHeight="1">
      <c r="A10" s="29">
        <v>3</v>
      </c>
      <c r="B10" s="25" t="s">
        <v>62</v>
      </c>
      <c r="C10" s="16" t="s">
        <v>60</v>
      </c>
      <c r="D10" s="30"/>
      <c r="E10" s="39"/>
      <c r="F10" s="39"/>
      <c r="G10" s="39"/>
      <c r="H10" s="39"/>
      <c r="I10" s="39"/>
      <c r="J10" s="39"/>
      <c r="K10" s="39"/>
      <c r="L10" s="39"/>
      <c r="M10" s="39"/>
      <c r="N10" s="39"/>
      <c r="O10" s="39"/>
    </row>
    <row r="11" spans="1:15" ht="52.5" customHeight="1">
      <c r="A11" s="29">
        <v>4</v>
      </c>
      <c r="B11" s="25" t="s">
        <v>63</v>
      </c>
      <c r="C11" s="16" t="s">
        <v>60</v>
      </c>
      <c r="D11" s="30"/>
      <c r="E11" s="39"/>
      <c r="F11" s="39"/>
      <c r="G11" s="39"/>
      <c r="H11" s="39"/>
      <c r="I11" s="39"/>
      <c r="J11" s="39"/>
      <c r="K11" s="39"/>
      <c r="L11" s="39"/>
      <c r="M11" s="39"/>
      <c r="N11" s="39"/>
      <c r="O11" s="39"/>
    </row>
    <row r="12" spans="1:15" ht="51" customHeight="1">
      <c r="A12" s="29">
        <v>5</v>
      </c>
      <c r="B12" s="25" t="s">
        <v>64</v>
      </c>
      <c r="C12" s="16" t="s">
        <v>60</v>
      </c>
      <c r="D12" s="30"/>
      <c r="E12" s="39"/>
      <c r="F12" s="39"/>
      <c r="G12" s="39"/>
      <c r="H12" s="39"/>
      <c r="I12" s="39"/>
      <c r="J12" s="39"/>
      <c r="K12" s="39"/>
      <c r="L12" s="39"/>
      <c r="M12" s="39"/>
      <c r="N12" s="39"/>
      <c r="O12" s="39"/>
    </row>
    <row r="13" spans="1:15" ht="63" customHeight="1">
      <c r="A13" s="29">
        <v>6</v>
      </c>
      <c r="B13" s="25" t="s">
        <v>65</v>
      </c>
      <c r="C13" s="16" t="s">
        <v>60</v>
      </c>
      <c r="D13" s="30"/>
      <c r="E13" s="39"/>
      <c r="F13" s="39"/>
      <c r="G13" s="39"/>
      <c r="H13" s="39"/>
      <c r="I13" s="39"/>
      <c r="J13" s="39"/>
      <c r="K13" s="39"/>
      <c r="L13" s="39"/>
      <c r="M13" s="39"/>
      <c r="N13" s="39"/>
      <c r="O13" s="39"/>
    </row>
    <row r="14" spans="1:15" ht="48" customHeight="1">
      <c r="A14" s="29">
        <v>7</v>
      </c>
      <c r="B14" s="25" t="s">
        <v>66</v>
      </c>
      <c r="C14" s="16" t="s">
        <v>60</v>
      </c>
      <c r="D14" s="30"/>
      <c r="E14" s="39"/>
      <c r="F14" s="39"/>
      <c r="G14" s="39"/>
      <c r="H14" s="39"/>
      <c r="I14" s="39"/>
      <c r="J14" s="39"/>
      <c r="K14" s="39"/>
      <c r="L14" s="39"/>
      <c r="M14" s="39"/>
      <c r="N14" s="39"/>
      <c r="O14" s="39"/>
    </row>
    <row r="15" spans="1:15" ht="46.5" customHeight="1">
      <c r="A15" s="29">
        <v>8</v>
      </c>
      <c r="B15" s="25" t="s">
        <v>67</v>
      </c>
      <c r="C15" s="16" t="s">
        <v>60</v>
      </c>
      <c r="D15" s="30"/>
      <c r="E15" s="39"/>
      <c r="F15" s="39"/>
      <c r="G15" s="39"/>
      <c r="H15" s="39"/>
      <c r="I15" s="39"/>
      <c r="J15" s="39"/>
      <c r="K15" s="39"/>
      <c r="L15" s="39"/>
      <c r="M15" s="39"/>
      <c r="N15" s="39"/>
      <c r="O15" s="39"/>
    </row>
    <row r="16" spans="1:15" ht="72.75" customHeight="1">
      <c r="A16" s="17">
        <v>9</v>
      </c>
      <c r="B16" s="18" t="s">
        <v>68</v>
      </c>
      <c r="C16" s="19"/>
      <c r="D16" s="19" t="s">
        <v>60</v>
      </c>
      <c r="E16" s="39"/>
      <c r="F16" s="39"/>
      <c r="G16" s="39"/>
      <c r="H16" s="39"/>
      <c r="I16" s="39"/>
      <c r="J16" s="39"/>
      <c r="K16" s="39"/>
      <c r="L16" s="39"/>
      <c r="M16" s="39"/>
      <c r="N16" s="39"/>
      <c r="O16" s="39"/>
    </row>
    <row r="17" spans="1:4" ht="14.25" customHeight="1">
      <c r="A17" s="57" t="s">
        <v>69</v>
      </c>
      <c r="B17" s="45"/>
      <c r="C17" s="20">
        <f>COUNTA('MODELO LISTA DE COMPROBACIO RF6'!$C$8:$C$16)</f>
        <v>6</v>
      </c>
      <c r="D17" s="20">
        <f>COUNTA('MODELO LISTA DE COMPROBACIO RF6'!$D$8:$D$16)</f>
        <v>3</v>
      </c>
    </row>
    <row r="18" spans="1:4" ht="14.25" customHeight="1">
      <c r="A18" s="57" t="s">
        <v>70</v>
      </c>
      <c r="B18" s="45"/>
      <c r="C18" s="21">
        <f t="shared" ref="C18:D18" si="0">C17/9</f>
        <v>0.66666666666666663</v>
      </c>
      <c r="D18" s="21">
        <f t="shared" si="0"/>
        <v>0.33333333333333331</v>
      </c>
    </row>
    <row r="19" spans="1:4" ht="14.25" customHeight="1">
      <c r="A19" s="40"/>
      <c r="B19" s="40"/>
      <c r="C19" s="21"/>
      <c r="D19" s="20"/>
    </row>
    <row r="20" spans="1:4" ht="46.5" customHeight="1">
      <c r="A20" s="58" t="s">
        <v>71</v>
      </c>
      <c r="B20" s="59"/>
      <c r="C20" s="59"/>
      <c r="D20" s="59"/>
    </row>
    <row r="21" spans="1:4" ht="14.25" customHeight="1">
      <c r="A21" s="31" t="s">
        <v>55</v>
      </c>
      <c r="B21" s="32" t="s">
        <v>56</v>
      </c>
      <c r="C21" s="33" t="s">
        <v>57</v>
      </c>
      <c r="D21" s="34" t="s">
        <v>58</v>
      </c>
    </row>
    <row r="22" spans="1:4" ht="53.25" customHeight="1">
      <c r="A22" s="29">
        <v>1</v>
      </c>
      <c r="B22" s="25" t="s">
        <v>72</v>
      </c>
      <c r="C22" s="19" t="s">
        <v>60</v>
      </c>
      <c r="D22" s="30"/>
    </row>
    <row r="23" spans="1:4" ht="51.75" customHeight="1">
      <c r="A23" s="29">
        <v>2</v>
      </c>
      <c r="B23" s="25" t="s">
        <v>73</v>
      </c>
      <c r="C23" s="19" t="s">
        <v>60</v>
      </c>
      <c r="D23" s="30"/>
    </row>
    <row r="24" spans="1:4" ht="59.25" customHeight="1">
      <c r="A24" s="29">
        <v>3</v>
      </c>
      <c r="B24" s="25" t="s">
        <v>74</v>
      </c>
      <c r="C24" s="30"/>
      <c r="D24" s="19" t="s">
        <v>60</v>
      </c>
    </row>
    <row r="25" spans="1:4" ht="29.25" customHeight="1">
      <c r="A25" s="29">
        <v>4</v>
      </c>
      <c r="B25" s="25" t="s">
        <v>75</v>
      </c>
      <c r="C25" s="19" t="s">
        <v>60</v>
      </c>
      <c r="D25" s="30"/>
    </row>
    <row r="26" spans="1:4" ht="38.25" customHeight="1">
      <c r="A26" s="17">
        <v>5</v>
      </c>
      <c r="B26" s="18" t="s">
        <v>76</v>
      </c>
      <c r="C26" s="19" t="s">
        <v>60</v>
      </c>
      <c r="D26" s="22"/>
    </row>
    <row r="27" spans="1:4" ht="14.25" customHeight="1">
      <c r="A27" s="57" t="s">
        <v>69</v>
      </c>
      <c r="B27" s="45"/>
      <c r="C27" s="20">
        <f>COUNTA('MODELO LISTA DE COMPROBACIO RF6'!$C$22:$C$26)</f>
        <v>4</v>
      </c>
      <c r="D27" s="20">
        <f>COUNTA('MODELO LISTA DE COMPROBACIO RF6'!$D$22:$D$26)</f>
        <v>1</v>
      </c>
    </row>
    <row r="28" spans="1:4" ht="14.25" customHeight="1">
      <c r="A28" s="57" t="s">
        <v>70</v>
      </c>
      <c r="B28" s="45"/>
      <c r="C28" s="21">
        <f t="shared" ref="C28:D28" si="1">C27/5</f>
        <v>0.8</v>
      </c>
      <c r="D28" s="21">
        <f t="shared" si="1"/>
        <v>0.2</v>
      </c>
    </row>
    <row r="29" spans="1:4" ht="14.25" customHeight="1">
      <c r="A29" s="40"/>
      <c r="B29" s="40"/>
      <c r="C29" s="21"/>
      <c r="D29" s="20"/>
    </row>
    <row r="30" spans="1:4" ht="14.25" customHeight="1">
      <c r="A30" s="60" t="s">
        <v>77</v>
      </c>
      <c r="B30" s="45"/>
      <c r="C30" s="45"/>
      <c r="D30" s="45"/>
    </row>
    <row r="31" spans="1:4" ht="14.25" customHeight="1">
      <c r="A31" s="31" t="s">
        <v>55</v>
      </c>
      <c r="B31" s="32" t="s">
        <v>56</v>
      </c>
      <c r="C31" s="33" t="s">
        <v>57</v>
      </c>
      <c r="D31" s="34" t="s">
        <v>58</v>
      </c>
    </row>
    <row r="32" spans="1:4" ht="51" customHeight="1">
      <c r="A32" s="29">
        <v>1</v>
      </c>
      <c r="B32" s="25" t="s">
        <v>78</v>
      </c>
      <c r="C32" s="19" t="s">
        <v>60</v>
      </c>
      <c r="D32" s="19"/>
    </row>
    <row r="33" spans="1:4" ht="52.5" customHeight="1">
      <c r="A33" s="29">
        <v>2</v>
      </c>
      <c r="B33" s="25" t="s">
        <v>79</v>
      </c>
      <c r="C33" s="19"/>
      <c r="D33" s="19" t="s">
        <v>60</v>
      </c>
    </row>
    <row r="34" spans="1:4" ht="47.25" customHeight="1">
      <c r="A34" s="17">
        <v>3</v>
      </c>
      <c r="B34" s="18" t="s">
        <v>80</v>
      </c>
      <c r="C34" s="19"/>
      <c r="D34" s="19" t="s">
        <v>60</v>
      </c>
    </row>
    <row r="35" spans="1:4" ht="14.25" customHeight="1">
      <c r="A35" s="57" t="s">
        <v>69</v>
      </c>
      <c r="B35" s="45"/>
      <c r="C35" s="5">
        <f>COUNTA('MODELO LISTA DE COMPROBACIO RF6'!$C$32:$C$34)</f>
        <v>1</v>
      </c>
      <c r="D35" s="5">
        <f>COUNTA('MODELO LISTA DE COMPROBACIO RF6'!$D$32:$D$34)</f>
        <v>2</v>
      </c>
    </row>
    <row r="36" spans="1:4" ht="14.25" customHeight="1">
      <c r="A36" s="57" t="s">
        <v>70</v>
      </c>
      <c r="B36" s="45"/>
      <c r="C36" s="21">
        <f t="shared" ref="C36:D36" si="2">C35/3</f>
        <v>0.33333333333333331</v>
      </c>
      <c r="D36" s="21">
        <f t="shared" si="2"/>
        <v>0.66666666666666663</v>
      </c>
    </row>
    <row r="37" spans="1:4" ht="14.25" customHeight="1">
      <c r="A37" s="39"/>
      <c r="B37" s="39"/>
      <c r="C37" s="39"/>
      <c r="D37" s="39"/>
    </row>
    <row r="38" spans="1:4" ht="14.25" customHeight="1">
      <c r="A38" s="39"/>
      <c r="B38" s="39"/>
      <c r="C38" s="39"/>
      <c r="D38" s="39"/>
    </row>
    <row r="39" spans="1:4" ht="14.25" customHeight="1">
      <c r="A39" s="39"/>
      <c r="B39" s="39"/>
      <c r="C39" s="39"/>
      <c r="D39" s="39"/>
    </row>
    <row r="40" spans="1:4" ht="14.25" customHeight="1">
      <c r="A40" s="62" t="s">
        <v>81</v>
      </c>
      <c r="B40" s="45"/>
      <c r="C40" s="45"/>
      <c r="D40" s="39"/>
    </row>
    <row r="41" spans="1:4" ht="30" customHeight="1">
      <c r="A41" s="39"/>
      <c r="B41" s="10" t="s">
        <v>82</v>
      </c>
      <c r="C41" s="23">
        <v>67</v>
      </c>
      <c r="D41" s="39"/>
    </row>
    <row r="42" spans="1:4" ht="30" customHeight="1">
      <c r="A42" s="39"/>
      <c r="B42" s="10" t="s">
        <v>71</v>
      </c>
      <c r="C42" s="23">
        <v>80</v>
      </c>
      <c r="D42" s="39"/>
    </row>
    <row r="43" spans="1:4" ht="30" customHeight="1">
      <c r="A43" s="39"/>
      <c r="B43" s="10" t="s">
        <v>77</v>
      </c>
      <c r="C43" s="23">
        <v>33</v>
      </c>
      <c r="D43" s="39"/>
    </row>
    <row r="44" spans="1:4" ht="14.25" customHeight="1">
      <c r="A44" s="39"/>
      <c r="B44" s="39"/>
      <c r="C44" s="20"/>
      <c r="D44" s="39"/>
    </row>
    <row r="45" spans="1:4" ht="14.25" customHeight="1">
      <c r="A45" s="39"/>
      <c r="B45" s="39"/>
      <c r="C45" s="20"/>
      <c r="D45" s="39"/>
    </row>
    <row r="46" spans="1:4" ht="14.25" customHeight="1">
      <c r="A46" s="39"/>
      <c r="B46" s="39"/>
      <c r="C46" s="39"/>
      <c r="D46" s="39"/>
    </row>
    <row r="47" spans="1:4" ht="14.25" customHeight="1">
      <c r="A47" s="39"/>
      <c r="B47" s="39"/>
      <c r="C47" s="39"/>
      <c r="D47" s="39"/>
    </row>
    <row r="48" spans="1:4" ht="14.25" customHeight="1">
      <c r="A48" s="39"/>
      <c r="B48" s="39"/>
      <c r="C48" s="39"/>
      <c r="D48" s="39"/>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11" priority="5" operator="containsText" text="X">
      <formula>NOT(ISERROR(SEARCH(("X"),(A32))))</formula>
    </cfRule>
  </conditionalFormatting>
  <conditionalFormatting sqref="C22:C26 C8:D16 C32:D34">
    <cfRule type="containsText" dxfId="10" priority="7" operator="containsText" text="X">
      <formula>NOT(ISERROR(SEARCH(("X"),(C8))))</formula>
    </cfRule>
    <cfRule type="containsText" dxfId="9" priority="8" operator="containsText" text="X">
      <formula>NOT(ISERROR(SEARCH(("X"),(C8))))</formula>
    </cfRule>
    <cfRule type="containsText" dxfId="8" priority="9" operator="containsText" text="X">
      <formula>NOT(ISERROR(SEARCH(("X"),(C8))))</formula>
    </cfRule>
  </conditionalFormatting>
  <conditionalFormatting sqref="C22:D26">
    <cfRule type="containsText" dxfId="7" priority="10" operator="containsText" text="X">
      <formula>NOT(ISERROR(SEARCH(("X"),(C22))))</formula>
    </cfRule>
    <cfRule type="containsText" dxfId="6" priority="11" operator="containsText" text="X">
      <formula>NOT(ISERROR(SEARCH(("X"),(C22))))</formula>
    </cfRule>
  </conditionalFormatting>
  <conditionalFormatting sqref="C22:C26 C8:D16 C32:D34">
    <cfRule type="containsText" dxfId="5" priority="6" operator="containsText" text="X">
      <formula>NOT(ISERROR(SEARCH(("X"),(C8))))</formula>
    </cfRule>
  </conditionalFormatting>
  <conditionalFormatting sqref="C32:D34">
    <cfRule type="containsText" dxfId="4" priority="12" operator="containsText" text="X">
      <formula>NOT(ISERROR(SEARCH(("X"),(C32))))</formula>
    </cfRule>
  </conditionalFormatting>
  <conditionalFormatting sqref="D24">
    <cfRule type="containsText" dxfId="3" priority="2" operator="containsText" text="X">
      <formula>NOT(ISERROR(SEARCH(("X"),(D24))))</formula>
    </cfRule>
    <cfRule type="containsText" dxfId="2" priority="3" operator="containsText" text="X">
      <formula>NOT(ISERROR(SEARCH(("X"),(D24))))</formula>
    </cfRule>
    <cfRule type="containsText" dxfId="1" priority="4" operator="containsText" text="X">
      <formula>NOT(ISERROR(SEARCH(("X"),(D24))))</formula>
    </cfRule>
  </conditionalFormatting>
  <conditionalFormatting sqref="D24">
    <cfRule type="containsText" dxfId="0" priority="1" operator="containsText" text="X">
      <formula>NOT(ISERROR(SEARCH(("X"),(D24))))</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267D-9145-4F1B-B597-BE2C4FC81ED2}">
  <dimension ref="A1:B998"/>
  <sheetViews>
    <sheetView topLeftCell="A2" workbookViewId="0">
      <selection activeCell="A4" sqref="A4"/>
    </sheetView>
  </sheetViews>
  <sheetFormatPr defaultColWidth="14.42578125" defaultRowHeight="15" customHeight="1"/>
  <cols>
    <col min="1" max="1" width="117.140625" style="28" customWidth="1"/>
    <col min="2" max="2" width="57.28515625" style="28" customWidth="1"/>
    <col min="3" max="26" width="10.7109375" style="28" customWidth="1"/>
    <col min="27" max="16384" width="14.42578125" style="28"/>
  </cols>
  <sheetData>
    <row r="1" spans="1:2" ht="14.25" customHeight="1">
      <c r="A1" s="24" t="s">
        <v>87</v>
      </c>
      <c r="B1" s="24" t="s">
        <v>88</v>
      </c>
    </row>
    <row r="2" spans="1:2" ht="111" customHeight="1">
      <c r="A2" s="25" t="s">
        <v>89</v>
      </c>
      <c r="B2" s="25" t="s">
        <v>90</v>
      </c>
    </row>
    <row r="3" spans="1:2" ht="152.25" customHeight="1">
      <c r="A3" s="26" t="s">
        <v>91</v>
      </c>
      <c r="B3" s="25" t="s">
        <v>92</v>
      </c>
    </row>
    <row r="4" spans="1:2" ht="84" customHeight="1">
      <c r="A4" s="36" t="s">
        <v>93</v>
      </c>
      <c r="B4" s="35" t="s">
        <v>94</v>
      </c>
    </row>
    <row r="5" spans="1:2" ht="14.25" customHeight="1">
      <c r="A5" s="39"/>
      <c r="B5" s="39"/>
    </row>
    <row r="6" spans="1:2" ht="14.25" customHeight="1">
      <c r="A6" s="39"/>
      <c r="B6" s="39"/>
    </row>
    <row r="7" spans="1:2" ht="14.25" customHeight="1">
      <c r="A7" s="39"/>
      <c r="B7" s="39"/>
    </row>
    <row r="8" spans="1:2" ht="14.25" customHeight="1">
      <c r="A8" s="39"/>
      <c r="B8" s="39"/>
    </row>
    <row r="9" spans="1:2" ht="14.25" customHeight="1">
      <c r="A9" s="39"/>
      <c r="B9" s="39"/>
    </row>
    <row r="10" spans="1:2" ht="14.25" customHeight="1">
      <c r="A10" s="39"/>
      <c r="B10" s="39"/>
    </row>
    <row r="11" spans="1:2" ht="14.25" customHeight="1">
      <c r="A11" s="39"/>
      <c r="B11" s="39"/>
    </row>
    <row r="12" spans="1:2" ht="14.25" customHeight="1">
      <c r="A12" s="39"/>
      <c r="B12" s="39"/>
    </row>
    <row r="13" spans="1:2" ht="14.25" customHeight="1">
      <c r="A13" s="39"/>
      <c r="B13" s="39"/>
    </row>
    <row r="14" spans="1:2" ht="14.25" customHeight="1">
      <c r="A14" s="39"/>
      <c r="B14" s="39"/>
    </row>
    <row r="15" spans="1:2" ht="14.25" customHeight="1">
      <c r="A15" s="39"/>
      <c r="B15" s="39"/>
    </row>
    <row r="16" spans="1:2" ht="14.25" customHeight="1">
      <c r="A16" s="39"/>
      <c r="B16" s="3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370F6-1547-46E7-AECF-5EE53F71334D}">
  <dimension ref="A1:B998"/>
  <sheetViews>
    <sheetView workbookViewId="0">
      <selection activeCell="B4" sqref="B4"/>
    </sheetView>
  </sheetViews>
  <sheetFormatPr defaultColWidth="14.42578125" defaultRowHeight="15" customHeight="1"/>
  <cols>
    <col min="1" max="1" width="117.140625" style="28" customWidth="1"/>
    <col min="2" max="2" width="57.28515625" style="28" customWidth="1"/>
    <col min="3" max="26" width="10.7109375" style="28" customWidth="1"/>
    <col min="27" max="16384" width="14.42578125" style="28"/>
  </cols>
  <sheetData>
    <row r="1" spans="1:2" ht="14.25" customHeight="1">
      <c r="A1" s="24" t="s">
        <v>87</v>
      </c>
      <c r="B1" s="24" t="s">
        <v>88</v>
      </c>
    </row>
    <row r="2" spans="1:2" ht="111" customHeight="1">
      <c r="A2" s="25" t="s">
        <v>95</v>
      </c>
      <c r="B2" s="25" t="s">
        <v>96</v>
      </c>
    </row>
    <row r="3" spans="1:2" ht="152.25" customHeight="1">
      <c r="A3" s="26" t="s">
        <v>97</v>
      </c>
      <c r="B3" s="25" t="s">
        <v>98</v>
      </c>
    </row>
    <row r="4" spans="1:2" ht="14.25" customHeight="1">
      <c r="A4" s="39"/>
      <c r="B4" s="39"/>
    </row>
    <row r="5" spans="1:2" ht="14.25" customHeight="1">
      <c r="A5" s="39"/>
      <c r="B5" s="39"/>
    </row>
    <row r="6" spans="1:2" ht="14.25" customHeight="1">
      <c r="A6" s="39"/>
      <c r="B6" s="39"/>
    </row>
    <row r="7" spans="1:2" ht="14.25" customHeight="1">
      <c r="A7" s="39"/>
      <c r="B7" s="39"/>
    </row>
    <row r="8" spans="1:2" ht="14.25" customHeight="1">
      <c r="A8" s="39"/>
      <c r="B8" s="39"/>
    </row>
    <row r="9" spans="1:2" ht="14.25" customHeight="1">
      <c r="A9" s="39"/>
      <c r="B9" s="39"/>
    </row>
    <row r="10" spans="1:2" ht="14.25" customHeight="1">
      <c r="A10" s="39"/>
      <c r="B10" s="39"/>
    </row>
    <row r="11" spans="1:2" ht="14.25" customHeight="1">
      <c r="A11" s="39"/>
      <c r="B11" s="39"/>
    </row>
    <row r="12" spans="1:2" ht="14.25" customHeight="1">
      <c r="A12" s="39"/>
      <c r="B12" s="39"/>
    </row>
    <row r="13" spans="1:2" ht="14.25" customHeight="1">
      <c r="A13" s="39"/>
      <c r="B13" s="39"/>
    </row>
    <row r="14" spans="1:2" ht="14.25" customHeight="1">
      <c r="A14" s="39"/>
      <c r="B14" s="39"/>
    </row>
    <row r="15" spans="1:2" ht="14.25" customHeight="1">
      <c r="A15" s="39"/>
      <c r="B15" s="39"/>
    </row>
    <row r="16" spans="1:2" ht="14.25" customHeight="1">
      <c r="A16" s="39"/>
      <c r="B16" s="3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tabSelected="1" topLeftCell="A2" workbookViewId="0">
      <selection activeCell="B4" sqref="B4"/>
    </sheetView>
  </sheetViews>
  <sheetFormatPr defaultColWidth="14.42578125" defaultRowHeight="15" customHeight="1"/>
  <cols>
    <col min="1" max="1" width="117.140625" customWidth="1"/>
    <col min="2" max="2" width="57.28515625" customWidth="1"/>
    <col min="3" max="26" width="10.7109375" customWidth="1"/>
  </cols>
  <sheetData>
    <row r="1" spans="1:2" ht="14.25" customHeight="1">
      <c r="A1" s="24" t="s">
        <v>87</v>
      </c>
      <c r="B1" s="24" t="s">
        <v>88</v>
      </c>
    </row>
    <row r="2" spans="1:2" ht="111" customHeight="1">
      <c r="A2" s="25" t="s">
        <v>89</v>
      </c>
      <c r="B2" s="25" t="s">
        <v>99</v>
      </c>
    </row>
    <row r="3" spans="1:2" ht="152.25" customHeight="1">
      <c r="A3" s="26" t="s">
        <v>91</v>
      </c>
      <c r="B3" s="25" t="s">
        <v>100</v>
      </c>
    </row>
    <row r="4" spans="1:2" ht="14.25" customHeight="1">
      <c r="A4" s="25" t="s">
        <v>101</v>
      </c>
      <c r="B4" s="25" t="s">
        <v>102</v>
      </c>
    </row>
    <row r="5" spans="1:2" ht="14.25" customHeight="1">
      <c r="A5" s="39"/>
      <c r="B5" s="39"/>
    </row>
    <row r="6" spans="1:2" ht="14.25" customHeight="1">
      <c r="A6" s="39"/>
      <c r="B6" s="39"/>
    </row>
    <row r="7" spans="1:2" ht="14.25" customHeight="1">
      <c r="A7" s="39"/>
      <c r="B7" s="39"/>
    </row>
    <row r="8" spans="1:2" ht="14.25" customHeight="1">
      <c r="A8" s="39"/>
      <c r="B8" s="39"/>
    </row>
    <row r="9" spans="1:2" ht="14.25" customHeight="1">
      <c r="A9" s="39"/>
      <c r="B9" s="39"/>
    </row>
    <row r="10" spans="1:2" ht="14.25" customHeight="1">
      <c r="A10" s="39"/>
      <c r="B10" s="39"/>
    </row>
    <row r="11" spans="1:2" ht="14.25" customHeight="1">
      <c r="A11" s="39"/>
      <c r="B11" s="39"/>
    </row>
    <row r="12" spans="1:2" ht="14.25" customHeight="1">
      <c r="A12" s="39"/>
      <c r="B12" s="39"/>
    </row>
    <row r="13" spans="1:2" ht="14.25" customHeight="1">
      <c r="A13" s="39"/>
      <c r="B13" s="39"/>
    </row>
    <row r="14" spans="1:2" ht="14.25" customHeight="1">
      <c r="A14" s="39"/>
      <c r="B14" s="39"/>
    </row>
    <row r="15" spans="1:2" ht="14.25" customHeight="1">
      <c r="A15" s="39"/>
      <c r="B15" s="39"/>
    </row>
    <row r="16" spans="1:2" ht="14.25" customHeight="1">
      <c r="A16" s="39"/>
      <c r="B16" s="39"/>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
  <cp:revision/>
  <dcterms:created xsi:type="dcterms:W3CDTF">2026-04-14T13:46:44Z</dcterms:created>
  <dcterms:modified xsi:type="dcterms:W3CDTF">2026-04-15T03:15:47Z</dcterms:modified>
  <cp:category/>
  <cp:contentStatus/>
</cp:coreProperties>
</file>